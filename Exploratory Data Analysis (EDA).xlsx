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bb7a57dbf92b28a/Sibongile Maluleka/Week-5 Project/"/>
    </mc:Choice>
  </mc:AlternateContent>
  <xr:revisionPtr revIDLastSave="17" documentId="8_{FD126259-DAB4-4059-960D-BE9BF771B0E8}" xr6:coauthVersionLast="47" xr6:coauthVersionMax="47" xr10:uidLastSave="{A2BFD306-A995-45E4-B0FB-5FBF1042DFD9}"/>
  <bookViews>
    <workbookView xWindow="-120" yWindow="-120" windowWidth="24240" windowHeight="13140" firstSheet="1" activeTab="2" xr2:uid="{A7EFD072-AD98-47DC-895D-BF78D9FF504A}"/>
  </bookViews>
  <sheets>
    <sheet name="table" sheetId="8" state="hidden" r:id="rId1"/>
    <sheet name="Week5_Cleaned_Dataset" sheetId="2" r:id="rId2"/>
    <sheet name="Sheet2" sheetId="9" r:id="rId3"/>
    <sheet name="KPI" sheetId="5" state="hidden" r:id="rId4"/>
    <sheet name="pie chart" sheetId="1" state="hidden" r:id="rId5"/>
    <sheet name="bar graph" sheetId="3" state="hidden" r:id="rId6"/>
    <sheet name="Line chart" sheetId="6" state="hidden" r:id="rId7"/>
    <sheet name="Report" sheetId="7" r:id="rId8"/>
  </sheets>
  <definedNames>
    <definedName name="ExternalData_1" localSheetId="1" hidden="1">Week5_Cleaned_Dataset!$A$1:$J$121</definedName>
    <definedName name="Slicer_Gender">#N/A</definedName>
    <definedName name="Slicer_Gender1">#N/A</definedName>
  </definedNames>
  <calcPr calcId="191029"/>
  <pivotCaches>
    <pivotCache cacheId="3" r:id="rId9"/>
  </pivotCaches>
  <fileRecoveryPr repairLoad="1"/>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C07431-BA18-4620-9973-0040E54AF41A}" keepAlive="1" name="Query - Week5_Cleaned_Dataset" description="Connection to the 'Week5_Cleaned_Dataset' query in the workbook." type="5" refreshedVersion="8" background="1" saveData="1">
    <dbPr connection="Provider=Microsoft.Mashup.OleDb.1;Data Source=$Workbook$;Location=Week5_Cleaned_Dataset;Extended Properties=&quot;&quot;" command="SELECT * FROM [Week5_Cleaned_Dataset]"/>
  </connection>
</connections>
</file>

<file path=xl/sharedStrings.xml><?xml version="1.0" encoding="utf-8"?>
<sst xmlns="http://schemas.openxmlformats.org/spreadsheetml/2006/main" count="1254" uniqueCount="321">
  <si>
    <t>Student_ID</t>
  </si>
  <si>
    <t>Gender</t>
  </si>
  <si>
    <t>Subject</t>
  </si>
  <si>
    <t>Study_Hours_per_Week</t>
  </si>
  <si>
    <t>Attendance_Rate</t>
  </si>
  <si>
    <t>Previous_Score</t>
  </si>
  <si>
    <t>Quiz1</t>
  </si>
  <si>
    <t>Quiz2</t>
  </si>
  <si>
    <t>Quiz3</t>
  </si>
  <si>
    <t>Final_Score</t>
  </si>
  <si>
    <t>S1000</t>
  </si>
  <si>
    <t>Female</t>
  </si>
  <si>
    <t>English</t>
  </si>
  <si>
    <t>7.3</t>
  </si>
  <si>
    <t>0.88</t>
  </si>
  <si>
    <t>70.0</t>
  </si>
  <si>
    <t>30.0</t>
  </si>
  <si>
    <t>46.0</t>
  </si>
  <si>
    <t>58.0</t>
  </si>
  <si>
    <t>45.0</t>
  </si>
  <si>
    <t>S1001</t>
  </si>
  <si>
    <t>Male</t>
  </si>
  <si>
    <t>10.1</t>
  </si>
  <si>
    <t>0.89</t>
  </si>
  <si>
    <t>78.0</t>
  </si>
  <si>
    <t>55.0</t>
  </si>
  <si>
    <t>64.0</t>
  </si>
  <si>
    <t>73.0</t>
  </si>
  <si>
    <t>S1002</t>
  </si>
  <si>
    <t>Maths</t>
  </si>
  <si>
    <t>9.4</t>
  </si>
  <si>
    <t>0.98</t>
  </si>
  <si>
    <t>50.0</t>
  </si>
  <si>
    <t>53.0</t>
  </si>
  <si>
    <t>47.0</t>
  </si>
  <si>
    <t>44.0</t>
  </si>
  <si>
    <t>S1003</t>
  </si>
  <si>
    <t>7.8</t>
  </si>
  <si>
    <t>0.83</t>
  </si>
  <si>
    <t>65.0</t>
  </si>
  <si>
    <t>S1004</t>
  </si>
  <si>
    <t>5.5</t>
  </si>
  <si>
    <t>0.92</t>
  </si>
  <si>
    <t>75.0</t>
  </si>
  <si>
    <t>49.0</t>
  </si>
  <si>
    <t>28.0</t>
  </si>
  <si>
    <t>51.0</t>
  </si>
  <si>
    <t>S1005</t>
  </si>
  <si>
    <t>Science</t>
  </si>
  <si>
    <t>3.5</t>
  </si>
  <si>
    <t>0.86</t>
  </si>
  <si>
    <t>41.0</t>
  </si>
  <si>
    <t>22.0</t>
  </si>
  <si>
    <t>16.0</t>
  </si>
  <si>
    <t>39.0</t>
  </si>
  <si>
    <t>S1006</t>
  </si>
  <si>
    <t>6.7</t>
  </si>
  <si>
    <t>48.0</t>
  </si>
  <si>
    <t>40.0</t>
  </si>
  <si>
    <t>S1007</t>
  </si>
  <si>
    <t>10.6</t>
  </si>
  <si>
    <t>0.97</t>
  </si>
  <si>
    <t>38.0</t>
  </si>
  <si>
    <t>42.0</t>
  </si>
  <si>
    <t>S1008</t>
  </si>
  <si>
    <t>8.6</t>
  </si>
  <si>
    <t>0.95</t>
  </si>
  <si>
    <t>59.0</t>
  </si>
  <si>
    <t>52.0</t>
  </si>
  <si>
    <t>S1009</t>
  </si>
  <si>
    <t>4.3</t>
  </si>
  <si>
    <t>71.0</t>
  </si>
  <si>
    <t>43.0</t>
  </si>
  <si>
    <t>36.0</t>
  </si>
  <si>
    <t>S1010</t>
  </si>
  <si>
    <t>8.5</t>
  </si>
  <si>
    <t>80.0</t>
  </si>
  <si>
    <t>60.0</t>
  </si>
  <si>
    <t>S1011</t>
  </si>
  <si>
    <t>9.2</t>
  </si>
  <si>
    <t>63.0</t>
  </si>
  <si>
    <t>S1012</t>
  </si>
  <si>
    <t>5.3</t>
  </si>
  <si>
    <t>0.93</t>
  </si>
  <si>
    <t>82.0</t>
  </si>
  <si>
    <t>54.0</t>
  </si>
  <si>
    <t>S1013</t>
  </si>
  <si>
    <t>S1014</t>
  </si>
  <si>
    <t>8.2</t>
  </si>
  <si>
    <t>0.91</t>
  </si>
  <si>
    <t>S1015</t>
  </si>
  <si>
    <t>4.6</t>
  </si>
  <si>
    <t>0.87</t>
  </si>
  <si>
    <t>61.0</t>
  </si>
  <si>
    <t>35.0</t>
  </si>
  <si>
    <t>S1016</t>
  </si>
  <si>
    <t>9.1</t>
  </si>
  <si>
    <t>67.0</t>
  </si>
  <si>
    <t>56.0</t>
  </si>
  <si>
    <t>S1017</t>
  </si>
  <si>
    <t>9.7</t>
  </si>
  <si>
    <t>62.0</t>
  </si>
  <si>
    <t>S1018</t>
  </si>
  <si>
    <t>11.2</t>
  </si>
  <si>
    <t>0.81</t>
  </si>
  <si>
    <t>37.0</t>
  </si>
  <si>
    <t>S1019</t>
  </si>
  <si>
    <t>1.0</t>
  </si>
  <si>
    <t>S1020</t>
  </si>
  <si>
    <t>3.9</t>
  </si>
  <si>
    <t>0.8</t>
  </si>
  <si>
    <t>29.0</t>
  </si>
  <si>
    <t>S1021</t>
  </si>
  <si>
    <t>5.2</t>
  </si>
  <si>
    <t>0.78</t>
  </si>
  <si>
    <t>S1022</t>
  </si>
  <si>
    <t>9.5</t>
  </si>
  <si>
    <t>66.0</t>
  </si>
  <si>
    <t>S1023</t>
  </si>
  <si>
    <t>S1024</t>
  </si>
  <si>
    <t>57.0</t>
  </si>
  <si>
    <t>S1025</t>
  </si>
  <si>
    <t>19.6</t>
  </si>
  <si>
    <t>76.0</t>
  </si>
  <si>
    <t>S1026</t>
  </si>
  <si>
    <t>S1027</t>
  </si>
  <si>
    <t>11.4</t>
  </si>
  <si>
    <t>77.0</t>
  </si>
  <si>
    <t>74.0</t>
  </si>
  <si>
    <t>S1028</t>
  </si>
  <si>
    <t>10.9</t>
  </si>
  <si>
    <t>S1029</t>
  </si>
  <si>
    <t>10.0</t>
  </si>
  <si>
    <t>68.0</t>
  </si>
  <si>
    <t>S1030</t>
  </si>
  <si>
    <t>7.1</t>
  </si>
  <si>
    <t>0.96</t>
  </si>
  <si>
    <t>S1031</t>
  </si>
  <si>
    <t>10.3</t>
  </si>
  <si>
    <t>34.0</t>
  </si>
  <si>
    <t>S1032</t>
  </si>
  <si>
    <t>5.7</t>
  </si>
  <si>
    <t>S1033</t>
  </si>
  <si>
    <t>0.85</t>
  </si>
  <si>
    <t>33.0</t>
  </si>
  <si>
    <t>S1034</t>
  </si>
  <si>
    <t>6.5</t>
  </si>
  <si>
    <t>S1035</t>
  </si>
  <si>
    <t>S1036</t>
  </si>
  <si>
    <t>14.9</t>
  </si>
  <si>
    <t>86.0</t>
  </si>
  <si>
    <t>S1037</t>
  </si>
  <si>
    <t>2.4</t>
  </si>
  <si>
    <t>0.9</t>
  </si>
  <si>
    <t>S1038</t>
  </si>
  <si>
    <t>S1039</t>
  </si>
  <si>
    <t>3.2</t>
  </si>
  <si>
    <t>0.84</t>
  </si>
  <si>
    <t>27.0</t>
  </si>
  <si>
    <t>S1040</t>
  </si>
  <si>
    <t>6.6</t>
  </si>
  <si>
    <t>S1041</t>
  </si>
  <si>
    <t>11.3</t>
  </si>
  <si>
    <t>69.0</t>
  </si>
  <si>
    <t>S1042</t>
  </si>
  <si>
    <t>0.76</t>
  </si>
  <si>
    <t>S1043</t>
  </si>
  <si>
    <t>4.8</t>
  </si>
  <si>
    <t>0.77</t>
  </si>
  <si>
    <t>S1044</t>
  </si>
  <si>
    <t>5.9</t>
  </si>
  <si>
    <t>0.82</t>
  </si>
  <si>
    <t>25.0</t>
  </si>
  <si>
    <t>S1045</t>
  </si>
  <si>
    <t>S1046</t>
  </si>
  <si>
    <t>5.8</t>
  </si>
  <si>
    <t>S1047</t>
  </si>
  <si>
    <t>31.0</t>
  </si>
  <si>
    <t>S1048</t>
  </si>
  <si>
    <t>8.1</t>
  </si>
  <si>
    <t>S1049</t>
  </si>
  <si>
    <t>6.0</t>
  </si>
  <si>
    <t>S1050</t>
  </si>
  <si>
    <t>14.4</t>
  </si>
  <si>
    <t>84.0</t>
  </si>
  <si>
    <t>S1051</t>
  </si>
  <si>
    <t>9.9</t>
  </si>
  <si>
    <t>S1052</t>
  </si>
  <si>
    <t>1.9</t>
  </si>
  <si>
    <t>S1053</t>
  </si>
  <si>
    <t>S1054</t>
  </si>
  <si>
    <t>98.0</t>
  </si>
  <si>
    <t>72.0</t>
  </si>
  <si>
    <t>S1055</t>
  </si>
  <si>
    <t>S1056</t>
  </si>
  <si>
    <t>5.6</t>
  </si>
  <si>
    <t>S1057</t>
  </si>
  <si>
    <t>7.7</t>
  </si>
  <si>
    <t>S1058</t>
  </si>
  <si>
    <t>S1059</t>
  </si>
  <si>
    <t>S1060</t>
  </si>
  <si>
    <t>4.4</t>
  </si>
  <si>
    <t>0.94</t>
  </si>
  <si>
    <t>S1061</t>
  </si>
  <si>
    <t>7.0</t>
  </si>
  <si>
    <t>S1062</t>
  </si>
  <si>
    <t>S1063</t>
  </si>
  <si>
    <t>S1064</t>
  </si>
  <si>
    <t>S1065</t>
  </si>
  <si>
    <t>S1066</t>
  </si>
  <si>
    <t>4.2</t>
  </si>
  <si>
    <t>S1067</t>
  </si>
  <si>
    <t>S1068</t>
  </si>
  <si>
    <t>S1069</t>
  </si>
  <si>
    <t>11.1</t>
  </si>
  <si>
    <t>S1070</t>
  </si>
  <si>
    <t>3.4</t>
  </si>
  <si>
    <t>S1071</t>
  </si>
  <si>
    <t>S1072</t>
  </si>
  <si>
    <t>11.8</t>
  </si>
  <si>
    <t>S1073</t>
  </si>
  <si>
    <t>S1074</t>
  </si>
  <si>
    <t>9.3</t>
  </si>
  <si>
    <t>S1075</t>
  </si>
  <si>
    <t>S1076</t>
  </si>
  <si>
    <t>S1077</t>
  </si>
  <si>
    <t>85.0</t>
  </si>
  <si>
    <t>S1078</t>
  </si>
  <si>
    <t>0.0</t>
  </si>
  <si>
    <t>15.0</t>
  </si>
  <si>
    <t>23.0</t>
  </si>
  <si>
    <t>S1079</t>
  </si>
  <si>
    <t>S1080</t>
  </si>
  <si>
    <t>7.2</t>
  </si>
  <si>
    <t>S1081</t>
  </si>
  <si>
    <t>S1082</t>
  </si>
  <si>
    <t>12.9</t>
  </si>
  <si>
    <t>S1083</t>
  </si>
  <si>
    <t>3.7</t>
  </si>
  <si>
    <t>S1084</t>
  </si>
  <si>
    <t>S1085</t>
  </si>
  <si>
    <t>8.4</t>
  </si>
  <si>
    <t>S1086</t>
  </si>
  <si>
    <t>12.3</t>
  </si>
  <si>
    <t>S1087</t>
  </si>
  <si>
    <t>26.0</t>
  </si>
  <si>
    <t>S1088</t>
  </si>
  <si>
    <t>11.5</t>
  </si>
  <si>
    <t>S1089</t>
  </si>
  <si>
    <t>8.0</t>
  </si>
  <si>
    <t>S1090</t>
  </si>
  <si>
    <t>5.1</t>
  </si>
  <si>
    <t>S1091</t>
  </si>
  <si>
    <t>79.0</t>
  </si>
  <si>
    <t>S1092</t>
  </si>
  <si>
    <t>0.74</t>
  </si>
  <si>
    <t>S1093</t>
  </si>
  <si>
    <t>6.2</t>
  </si>
  <si>
    <t>0.99</t>
  </si>
  <si>
    <t>S1094</t>
  </si>
  <si>
    <t>S1095</t>
  </si>
  <si>
    <t>6.8</t>
  </si>
  <si>
    <t>S1096</t>
  </si>
  <si>
    <t>8.3</t>
  </si>
  <si>
    <t>0.75</t>
  </si>
  <si>
    <t>S1097</t>
  </si>
  <si>
    <t>S1098</t>
  </si>
  <si>
    <t>12.8</t>
  </si>
  <si>
    <t>81.0</t>
  </si>
  <si>
    <t>S1099</t>
  </si>
  <si>
    <t>S1100</t>
  </si>
  <si>
    <t>S1101</t>
  </si>
  <si>
    <t>2.1</t>
  </si>
  <si>
    <t>20.0</t>
  </si>
  <si>
    <t>18.0</t>
  </si>
  <si>
    <t>S1102</t>
  </si>
  <si>
    <t>7.5</t>
  </si>
  <si>
    <t>0.79</t>
  </si>
  <si>
    <t>S1103</t>
  </si>
  <si>
    <t>9.8</t>
  </si>
  <si>
    <t>S1104</t>
  </si>
  <si>
    <t>8.8</t>
  </si>
  <si>
    <t>S1105</t>
  </si>
  <si>
    <t>6.1</t>
  </si>
  <si>
    <t>S1106</t>
  </si>
  <si>
    <t>7.4</t>
  </si>
  <si>
    <t>S1107</t>
  </si>
  <si>
    <t>S1108</t>
  </si>
  <si>
    <t>S1109</t>
  </si>
  <si>
    <t>10.5</t>
  </si>
  <si>
    <t>S1110</t>
  </si>
  <si>
    <t>S1111</t>
  </si>
  <si>
    <t>32.0</t>
  </si>
  <si>
    <t>S1112</t>
  </si>
  <si>
    <t>10.7</t>
  </si>
  <si>
    <t>S1113</t>
  </si>
  <si>
    <t>8.9</t>
  </si>
  <si>
    <t>S1114</t>
  </si>
  <si>
    <t>10.4</t>
  </si>
  <si>
    <t>S1115</t>
  </si>
  <si>
    <t>S1116</t>
  </si>
  <si>
    <t>S1117</t>
  </si>
  <si>
    <t>6.3</t>
  </si>
  <si>
    <t>S1118</t>
  </si>
  <si>
    <t>10.2</t>
  </si>
  <si>
    <t>S1119</t>
  </si>
  <si>
    <t>Row Labels</t>
  </si>
  <si>
    <t>Grand Total</t>
  </si>
  <si>
    <t>Count of Student_ID</t>
  </si>
  <si>
    <t>Count of Final_Score</t>
  </si>
  <si>
    <t>KPI</t>
  </si>
  <si>
    <t>Count of Quiz1</t>
  </si>
  <si>
    <t>Count of Quiz2</t>
  </si>
  <si>
    <t>Count of Quiz3</t>
  </si>
  <si>
    <t>WEEKLY STUDENTS PERFORMANCE SCORE</t>
  </si>
  <si>
    <t>Column Labels</t>
  </si>
  <si>
    <t>Total</t>
  </si>
  <si>
    <t>Per Gender</t>
  </si>
  <si>
    <t>Count of Subject</t>
  </si>
  <si>
    <r>
      <rPr>
        <b/>
        <i/>
        <sz val="8"/>
        <color rgb="FFC00000"/>
        <rFont val="Aptos Narrow"/>
        <family val="2"/>
        <scheme val="minor"/>
      </rPr>
      <t xml:space="preserve">N.B*** </t>
    </r>
    <r>
      <rPr>
        <i/>
        <sz val="8"/>
        <color theme="1"/>
        <rFont val="Aptos Narrow"/>
        <family val="2"/>
        <scheme val="minor"/>
      </rPr>
      <t xml:space="preserve"> The weekly performance data indicates a high level of engagement in Maths, which accounts for the largest volume of quiz submissions (49) and final scores. While student distribution is relatively balanced by gender (53% Female, 47% Male), participation across all three quiz stages remains consistent, suggesting a stable retention rate throughout the assessment period.</t>
    </r>
  </si>
  <si>
    <r>
      <rPr>
        <b/>
        <u/>
        <sz val="16"/>
        <color theme="1"/>
        <rFont val="Calibri"/>
        <family val="2"/>
      </rPr>
      <t>Here is the breakdown of each column and its specific purpose:</t>
    </r>
    <r>
      <rPr>
        <sz val="10"/>
        <color theme="1"/>
        <rFont val="Calibri"/>
        <family val="2"/>
      </rPr>
      <t xml:space="preserve">
</t>
    </r>
    <r>
      <rPr>
        <b/>
        <u/>
        <sz val="10"/>
        <color theme="1"/>
        <rFont val="Calibri"/>
        <family val="2"/>
      </rPr>
      <t>Student &amp; Categorical Data</t>
    </r>
    <r>
      <rPr>
        <sz val="10"/>
        <color theme="1"/>
        <rFont val="Calibri"/>
        <family val="2"/>
      </rPr>
      <t xml:space="preserve">
</t>
    </r>
    <r>
      <rPr>
        <b/>
        <sz val="10"/>
        <color theme="1"/>
        <rFont val="Calibri"/>
        <family val="2"/>
      </rPr>
      <t>Student_ID</t>
    </r>
    <r>
      <rPr>
        <sz val="10"/>
        <color theme="1"/>
        <rFont val="Calibri"/>
        <family val="2"/>
      </rPr>
      <t xml:space="preserve">: A unique identifier for each row. Its purpose is to ensure that each student's data is tracked individually without confusion between students with similar names.
</t>
    </r>
    <r>
      <rPr>
        <b/>
        <sz val="10"/>
        <color theme="1"/>
        <rFont val="Calibri"/>
        <family val="2"/>
      </rPr>
      <t>Gender</t>
    </r>
    <r>
      <rPr>
        <sz val="10"/>
        <color theme="1"/>
        <rFont val="Calibri"/>
        <family val="2"/>
      </rPr>
      <t xml:space="preserve">: A categorical variable used for demographic grouping. In your dashboard, this is the primary source for your "Distribution of Students by Gender" pie chart and your Slicer.
</t>
    </r>
    <r>
      <rPr>
        <b/>
        <sz val="10"/>
        <color theme="1"/>
        <rFont val="Calibri"/>
        <family val="2"/>
      </rPr>
      <t>Subject</t>
    </r>
    <r>
      <rPr>
        <sz val="10"/>
        <color theme="1"/>
        <rFont val="Calibri"/>
        <family val="2"/>
      </rPr>
      <t xml:space="preserve">: A categorical variable that defines the academic area. This allows you to filter or group the scores to see which subjects (English vs. Maths) have higher engagement or performance.
</t>
    </r>
    <r>
      <rPr>
        <b/>
        <u/>
        <sz val="10"/>
        <color theme="1"/>
        <rFont val="Calibri"/>
        <family val="2"/>
      </rPr>
      <t xml:space="preserve">Behavioral &amp; Historical Metrics
</t>
    </r>
    <r>
      <rPr>
        <b/>
        <sz val="10"/>
        <color theme="1"/>
        <rFont val="Calibri"/>
        <family val="2"/>
      </rPr>
      <t>Study_Hours_per_Week</t>
    </r>
    <r>
      <rPr>
        <sz val="10"/>
        <color theme="1"/>
        <rFont val="Calibri"/>
        <family val="2"/>
      </rPr>
      <t xml:space="preserve">: A quantitative metric representing student effort. This could be used to create a correlation analysis (e.g., "Do more study hours lead to a higher Final_Score?").
</t>
    </r>
    <r>
      <rPr>
        <b/>
        <sz val="10"/>
        <color theme="1"/>
        <rFont val="Calibri"/>
        <family val="2"/>
      </rPr>
      <t>Attendance_Rate</t>
    </r>
    <r>
      <rPr>
        <sz val="10"/>
        <color theme="1"/>
        <rFont val="Calibri"/>
        <family val="2"/>
      </rPr>
      <t xml:space="preserve">: A percentage metric (expressed as a decimal) that tracks presence. This is a key "Leading Indicator" for student success.
</t>
    </r>
    <r>
      <rPr>
        <b/>
        <sz val="10"/>
        <color theme="1"/>
        <rFont val="Calibri"/>
        <family val="2"/>
      </rPr>
      <t>Previous_Score</t>
    </r>
    <r>
      <rPr>
        <sz val="10"/>
        <color theme="1"/>
        <rFont val="Calibri"/>
        <family val="2"/>
      </rPr>
      <t xml:space="preserve">: A baseline metric. Its purpose is to provide context for current performance, allowing you to measure "Value Added" or student growth over time.
</t>
    </r>
    <r>
      <rPr>
        <b/>
        <u/>
        <sz val="10"/>
        <color theme="1"/>
        <rFont val="Calibri"/>
        <family val="2"/>
      </rPr>
      <t xml:space="preserve">Assessment &amp; Result Metrics
</t>
    </r>
    <r>
      <rPr>
        <b/>
        <sz val="10"/>
        <color theme="1"/>
        <rFont val="Calibri"/>
        <family val="2"/>
      </rPr>
      <t>Quiz1, Quiz2, Quiz3</t>
    </r>
    <r>
      <rPr>
        <sz val="10"/>
        <color theme="1"/>
        <rFont val="Calibri"/>
        <family val="2"/>
      </rPr>
      <t xml:space="preserve">: These are time-series data points. Their purpose is to show the student's progress throughout the term. In your dashboard, these are aggregated to create the "Comparison of Quiz Submissions" line chart.
</t>
    </r>
    <r>
      <rPr>
        <b/>
        <sz val="10"/>
        <color theme="1"/>
        <rFont val="Calibri"/>
        <family val="2"/>
      </rPr>
      <t>Final_Score</t>
    </r>
    <r>
      <rPr>
        <sz val="10"/>
        <color theme="1"/>
        <rFont val="Calibri"/>
        <family val="2"/>
      </rPr>
      <t>: The primary outcome variable. This is the most important column for your bar chart, as it represents the ultimate result of the student's performance in that subject.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</si>
</sst>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4"/>
      <color theme="8" tint="-0.499984740745262"/>
      <name val="Calibri"/>
      <family val="2"/>
    </font>
    <font>
      <b/>
      <sz val="11"/>
      <color theme="8" tint="-0.499984740745262"/>
      <name val="Aptos Narrow"/>
      <family val="2"/>
      <scheme val="minor"/>
    </font>
    <font>
      <sz val="8"/>
      <color theme="1"/>
      <name val="Calibri"/>
      <family val="2"/>
    </font>
    <font>
      <i/>
      <sz val="8"/>
      <color theme="1"/>
      <name val="Aptos Narrow"/>
      <family val="2"/>
      <scheme val="minor"/>
    </font>
    <font>
      <b/>
      <i/>
      <sz val="8"/>
      <color rgb="FFC00000"/>
      <name val="Aptos Narrow"/>
      <family val="2"/>
      <scheme val="minor"/>
    </font>
    <font>
      <sz val="10"/>
      <color theme="1"/>
      <name val="Calibri"/>
      <family val="2"/>
    </font>
    <font>
      <b/>
      <sz val="10"/>
      <color theme="1"/>
      <name val="Calibri"/>
      <family val="2"/>
    </font>
    <font>
      <b/>
      <u/>
      <sz val="10"/>
      <color theme="1"/>
      <name val="Calibri"/>
      <family val="2"/>
    </font>
    <font>
      <b/>
      <u/>
      <sz val="16"/>
      <color theme="1"/>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s>
  <borders count="17">
    <border>
      <left/>
      <right/>
      <top/>
      <bottom/>
      <diagonal/>
    </border>
    <border>
      <left style="thick">
        <color theme="8" tint="-0.499984740745262"/>
      </left>
      <right/>
      <top/>
      <bottom/>
      <diagonal/>
    </border>
    <border>
      <left/>
      <right style="thick">
        <color theme="8" tint="-0.499984740745262"/>
      </right>
      <top/>
      <bottom/>
      <diagonal/>
    </border>
    <border>
      <left style="thick">
        <color theme="8" tint="-0.499984740745262"/>
      </left>
      <right/>
      <top/>
      <bottom style="thick">
        <color theme="8" tint="-0.499984740745262"/>
      </bottom>
      <diagonal/>
    </border>
    <border>
      <left/>
      <right/>
      <top/>
      <bottom style="thick">
        <color theme="8" tint="-0.499984740745262"/>
      </bottom>
      <diagonal/>
    </border>
    <border>
      <left/>
      <right style="thick">
        <color theme="8" tint="-0.499984740745262"/>
      </right>
      <top/>
      <bottom style="thick">
        <color theme="8" tint="-0.499984740745262"/>
      </bottom>
      <diagonal/>
    </border>
    <border>
      <left style="medium">
        <color theme="8" tint="-0.499984740745262"/>
      </left>
      <right/>
      <top style="medium">
        <color theme="8" tint="-0.499984740745262"/>
      </top>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bottom/>
      <diagonal/>
    </border>
    <border>
      <left/>
      <right style="medium">
        <color theme="8" tint="-0.499984740745262"/>
      </right>
      <top/>
      <bottom/>
      <diagonal/>
    </border>
    <border>
      <left style="medium">
        <color theme="8" tint="-0.499984740745262"/>
      </left>
      <right/>
      <top/>
      <bottom style="medium">
        <color theme="8" tint="-0.499984740745262"/>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style="thin">
        <color theme="8" tint="-0.499984740745262"/>
      </left>
      <right/>
      <top style="thin">
        <color theme="8" tint="-0.499984740745262"/>
      </top>
      <bottom style="thin">
        <color theme="8" tint="-0.499984740745262"/>
      </bottom>
      <diagonal/>
    </border>
    <border>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s>
  <cellStyleXfs count="1">
    <xf numFmtId="0" fontId="0" fillId="0" borderId="0"/>
  </cellStyleXfs>
  <cellXfs count="33">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13" xfId="0" applyFont="1" applyFill="1" applyBorder="1" applyAlignment="1">
      <alignment horizontal="left" vertical="center"/>
    </xf>
    <xf numFmtId="0" fontId="0" fillId="3" borderId="0" xfId="0" applyFill="1"/>
    <xf numFmtId="0" fontId="2" fillId="3" borderId="14" xfId="0" applyFont="1" applyFill="1" applyBorder="1"/>
    <xf numFmtId="0" fontId="2" fillId="3" borderId="15" xfId="0" applyFont="1" applyFill="1" applyBorder="1"/>
    <xf numFmtId="0" fontId="2" fillId="3" borderId="16" xfId="0" applyFont="1" applyFill="1" applyBorder="1"/>
    <xf numFmtId="0" fontId="0" fillId="3" borderId="1" xfId="0" applyFill="1" applyBorder="1"/>
    <xf numFmtId="0" fontId="3" fillId="3" borderId="0" xfId="0" applyFont="1" applyFill="1" applyAlignment="1">
      <alignment vertical="top" wrapText="1"/>
    </xf>
    <xf numFmtId="0" fontId="3" fillId="3" borderId="4" xfId="0" applyFont="1" applyFill="1" applyBorder="1" applyAlignment="1">
      <alignment vertical="top" wrapText="1"/>
    </xf>
    <xf numFmtId="0" fontId="0" fillId="0" borderId="0" xfId="0" applyBorder="1"/>
    <xf numFmtId="0" fontId="0" fillId="3" borderId="2" xfId="0" applyFill="1" applyBorder="1"/>
    <xf numFmtId="0" fontId="0" fillId="3" borderId="0" xfId="0" applyFill="1" applyBorder="1"/>
    <xf numFmtId="0" fontId="0" fillId="0" borderId="0" xfId="0" pivotButton="1" applyBorder="1"/>
    <xf numFmtId="0" fontId="0" fillId="0" borderId="0" xfId="0" applyBorder="1" applyAlignment="1">
      <alignment horizontal="left"/>
    </xf>
    <xf numFmtId="0" fontId="0" fillId="0" borderId="0" xfId="0" applyNumberFormat="1" applyBorder="1"/>
    <xf numFmtId="0" fontId="0" fillId="3" borderId="5" xfId="0" applyFill="1" applyBorder="1"/>
    <xf numFmtId="0" fontId="0" fillId="3" borderId="3" xfId="0" applyFill="1" applyBorder="1"/>
    <xf numFmtId="0" fontId="4" fillId="3" borderId="0" xfId="0" applyFont="1" applyFill="1" applyBorder="1" applyAlignment="1">
      <alignment horizontal="left" vertical="top" wrapText="1"/>
    </xf>
    <xf numFmtId="0" fontId="4" fillId="3" borderId="2" xfId="0" applyFont="1" applyFill="1" applyBorder="1" applyAlignment="1">
      <alignment horizontal="left" vertical="top" wrapText="1"/>
    </xf>
    <xf numFmtId="0" fontId="6" fillId="2" borderId="0" xfId="0" applyFont="1" applyFill="1" applyAlignment="1">
      <alignment horizontal="left" vertical="center" wrapText="1"/>
    </xf>
    <xf numFmtId="0" fontId="0" fillId="0" borderId="0" xfId="0" applyFill="1"/>
  </cellXfs>
  <cellStyles count="1">
    <cellStyle name="Normal" xfId="0" builtinId="0"/>
  </cellStyles>
  <dxfs count="46">
    <dxf>
      <border>
        <right style="thick">
          <color theme="8" tint="-0.499984740745262"/>
        </right>
      </border>
    </dxf>
    <dxf>
      <border>
        <right style="thick">
          <color theme="8" tint="-0.499984740745262"/>
        </right>
      </border>
    </dxf>
    <dxf>
      <border>
        <right style="thick">
          <color theme="8" tint="-0.499984740745262"/>
        </right>
      </border>
    </dxf>
    <dxf>
      <border>
        <right style="thick">
          <color theme="8" tint="-0.499984740745262"/>
        </right>
      </border>
    </dxf>
    <dxf>
      <border>
        <right style="thick">
          <color theme="8" tint="-0.499984740745262"/>
        </right>
      </border>
    </dxf>
    <dxf>
      <border>
        <right style="thick">
          <color theme="8" tint="-0.499984740745262"/>
        </right>
      </border>
    </dxf>
    <dxf>
      <border>
        <right style="thick">
          <color theme="8" tint="-0.499984740745262"/>
        </right>
      </border>
    </dxf>
    <dxf>
      <border>
        <right style="thick">
          <color theme="8" tint="-0.499984740745262"/>
        </right>
      </border>
    </dxf>
    <dxf>
      <border>
        <right style="thick">
          <color theme="8" tint="-0.499984740745262"/>
        </right>
      </border>
    </dxf>
    <dxf>
      <border>
        <right style="thick">
          <color theme="8" tint="-0.499984740745262"/>
        </right>
      </border>
    </dxf>
    <dxf>
      <font>
        <b/>
      </font>
    </dxf>
    <dxf>
      <font>
        <b/>
      </font>
    </dxf>
    <dxf>
      <font>
        <b/>
      </font>
    </dxf>
    <dxf>
      <font>
        <color theme="8" tint="-0.499984740745262"/>
      </font>
    </dxf>
    <dxf>
      <font>
        <color theme="8" tint="-0.499984740745262"/>
      </font>
    </dxf>
    <dxf>
      <font>
        <color theme="8" tint="-0.499984740745262"/>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thin">
          <color theme="8" tint="-0.499984740745262"/>
        </left>
        <right style="thin">
          <color theme="8" tint="-0.499984740745262"/>
        </right>
        <top style="thin">
          <color theme="8" tint="-0.499984740745262"/>
        </top>
        <bottom style="thin">
          <color theme="8" tint="-0.499984740745262"/>
        </bottom>
      </border>
    </dxf>
    <dxf>
      <border>
        <left style="thin">
          <color theme="8" tint="-0.499984740745262"/>
        </left>
        <right style="thin">
          <color theme="8" tint="-0.499984740745262"/>
        </right>
        <top style="thin">
          <color theme="8" tint="-0.499984740745262"/>
        </top>
        <bottom style="thin">
          <color theme="8" tint="-0.499984740745262"/>
        </bottom>
      </border>
    </dxf>
    <dxf>
      <border>
        <left style="thin">
          <color theme="8" tint="-0.499984740745262"/>
        </left>
        <right style="thin">
          <color theme="8" tint="-0.499984740745262"/>
        </right>
        <top style="thin">
          <color theme="8" tint="-0.499984740745262"/>
        </top>
        <bottom style="thin">
          <color theme="8" tint="-0.499984740745262"/>
        </bottom>
      </border>
    </dxf>
    <dxf>
      <border>
        <left style="thin">
          <color theme="8" tint="-0.499984740745262"/>
        </left>
        <right style="thin">
          <color theme="8" tint="-0.499984740745262"/>
        </right>
        <top style="thin">
          <color theme="8" tint="-0.499984740745262"/>
        </top>
        <bottom style="thin">
          <color theme="8" tint="-0.499984740745262"/>
        </bottom>
      </border>
    </dxf>
    <dxf>
      <border>
        <left style="thin">
          <color theme="8" tint="-0.499984740745262"/>
        </left>
        <right style="thin">
          <color theme="8" tint="-0.499984740745262"/>
        </right>
        <top style="thin">
          <color theme="8" tint="-0.499984740745262"/>
        </top>
        <bottom style="thin">
          <color theme="8" tint="-0.499984740745262"/>
        </bottom>
      </border>
    </dxf>
    <dxf>
      <border>
        <left style="thin">
          <color theme="8" tint="-0.499984740745262"/>
        </left>
        <right style="thin">
          <color theme="8" tint="-0.499984740745262"/>
        </right>
        <top style="thin">
          <color theme="8" tint="-0.499984740745262"/>
        </top>
        <bottom style="thin">
          <color theme="8" tint="-0.499984740745262"/>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color theme="8" tint="-0.499984740745262"/>
      </font>
    </dxf>
    <dxf>
      <font>
        <color theme="8" tint="-0.499984740745262"/>
      </font>
    </dxf>
    <dxf>
      <font>
        <color theme="8" tint="-0.499984740745262"/>
      </font>
    </dxf>
    <dxf>
      <font>
        <b/>
      </font>
    </dxf>
    <dxf>
      <font>
        <b/>
      </font>
    </dxf>
    <dxf>
      <font>
        <b/>
      </font>
    </dxf>
    <dxf>
      <font>
        <b/>
      </font>
    </dxf>
    <dxf>
      <font>
        <b/>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(EDA).xlsx]table!PivotTable1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table!$B$3:$B$4</c:f>
              <c:strCache>
                <c:ptCount val="1"/>
                <c:pt idx="0">
                  <c:v>Female</c:v>
                </c:pt>
              </c:strCache>
            </c:strRef>
          </c:tx>
          <c:spPr>
            <a:solidFill>
              <a:schemeClr val="accent1"/>
            </a:solidFill>
            <a:ln>
              <a:noFill/>
            </a:ln>
            <a:effectLst/>
          </c:spPr>
          <c:invertIfNegative val="0"/>
          <c:cat>
            <c:strRef>
              <c:f>table!$A$5:$A$8</c:f>
              <c:strCache>
                <c:ptCount val="3"/>
                <c:pt idx="0">
                  <c:v>English</c:v>
                </c:pt>
                <c:pt idx="1">
                  <c:v>Maths</c:v>
                </c:pt>
                <c:pt idx="2">
                  <c:v>Science</c:v>
                </c:pt>
              </c:strCache>
            </c:strRef>
          </c:cat>
          <c:val>
            <c:numRef>
              <c:f>table!$B$5:$B$8</c:f>
              <c:numCache>
                <c:formatCode>General</c:formatCode>
                <c:ptCount val="3"/>
                <c:pt idx="0">
                  <c:v>21</c:v>
                </c:pt>
                <c:pt idx="1">
                  <c:v>22</c:v>
                </c:pt>
                <c:pt idx="2">
                  <c:v>21</c:v>
                </c:pt>
              </c:numCache>
            </c:numRef>
          </c:val>
          <c:extLst>
            <c:ext xmlns:c16="http://schemas.microsoft.com/office/drawing/2014/chart" uri="{C3380CC4-5D6E-409C-BE32-E72D297353CC}">
              <c16:uniqueId val="{00000000-C939-496E-A219-2168666C9ECA}"/>
            </c:ext>
          </c:extLst>
        </c:ser>
        <c:ser>
          <c:idx val="1"/>
          <c:order val="1"/>
          <c:tx>
            <c:strRef>
              <c:f>table!$C$3:$C$4</c:f>
              <c:strCache>
                <c:ptCount val="1"/>
                <c:pt idx="0">
                  <c:v>Male</c:v>
                </c:pt>
              </c:strCache>
            </c:strRef>
          </c:tx>
          <c:spPr>
            <a:solidFill>
              <a:schemeClr val="accent2"/>
            </a:solidFill>
            <a:ln>
              <a:noFill/>
            </a:ln>
            <a:effectLst/>
          </c:spPr>
          <c:invertIfNegative val="0"/>
          <c:cat>
            <c:strRef>
              <c:f>table!$A$5:$A$8</c:f>
              <c:strCache>
                <c:ptCount val="3"/>
                <c:pt idx="0">
                  <c:v>English</c:v>
                </c:pt>
                <c:pt idx="1">
                  <c:v>Maths</c:v>
                </c:pt>
                <c:pt idx="2">
                  <c:v>Science</c:v>
                </c:pt>
              </c:strCache>
            </c:strRef>
          </c:cat>
          <c:val>
            <c:numRef>
              <c:f>table!$C$5:$C$8</c:f>
              <c:numCache>
                <c:formatCode>General</c:formatCode>
                <c:ptCount val="3"/>
                <c:pt idx="0">
                  <c:v>12</c:v>
                </c:pt>
                <c:pt idx="1">
                  <c:v>27</c:v>
                </c:pt>
                <c:pt idx="2">
                  <c:v>17</c:v>
                </c:pt>
              </c:numCache>
            </c:numRef>
          </c:val>
          <c:extLst>
            <c:ext xmlns:c16="http://schemas.microsoft.com/office/drawing/2014/chart" uri="{C3380CC4-5D6E-409C-BE32-E72D297353CC}">
              <c16:uniqueId val="{00000001-C939-496E-A219-2168666C9ECA}"/>
            </c:ext>
          </c:extLst>
        </c:ser>
        <c:dLbls>
          <c:showLegendKey val="0"/>
          <c:showVal val="0"/>
          <c:showCatName val="0"/>
          <c:showSerName val="0"/>
          <c:showPercent val="0"/>
          <c:showBubbleSize val="0"/>
        </c:dLbls>
        <c:gapWidth val="219"/>
        <c:overlap val="-27"/>
        <c:axId val="1737062367"/>
        <c:axId val="1737056127"/>
      </c:barChart>
      <c:catAx>
        <c:axId val="173706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56127"/>
        <c:crosses val="autoZero"/>
        <c:auto val="1"/>
        <c:lblAlgn val="ctr"/>
        <c:lblOffset val="100"/>
        <c:noMultiLvlLbl val="0"/>
      </c:catAx>
      <c:valAx>
        <c:axId val="17370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6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(EDA).xlsx]KPI!PivotTable4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KPI!$A$3</c:f>
              <c:strCache>
                <c:ptCount val="1"/>
                <c:pt idx="0">
                  <c:v>Total</c:v>
                </c:pt>
              </c:strCache>
            </c:strRef>
          </c:tx>
          <c:spPr>
            <a:solidFill>
              <a:schemeClr val="accent1"/>
            </a:solidFill>
            <a:ln>
              <a:noFill/>
            </a:ln>
            <a:effectLst/>
          </c:spPr>
          <c:invertIfNegative val="0"/>
          <c:cat>
            <c:strRef>
              <c:f>KPI!$A$4</c:f>
              <c:strCache>
                <c:ptCount val="1"/>
                <c:pt idx="0">
                  <c:v>Total</c:v>
                </c:pt>
              </c:strCache>
            </c:strRef>
          </c:cat>
          <c:val>
            <c:numRef>
              <c:f>KPI!$A$4</c:f>
              <c:numCache>
                <c:formatCode>General</c:formatCode>
                <c:ptCount val="1"/>
                <c:pt idx="0">
                  <c:v>120</c:v>
                </c:pt>
              </c:numCache>
            </c:numRef>
          </c:val>
          <c:extLst>
            <c:ext xmlns:c16="http://schemas.microsoft.com/office/drawing/2014/chart" uri="{C3380CC4-5D6E-409C-BE32-E72D297353CC}">
              <c16:uniqueId val="{00000000-EE14-4A00-8264-04FEC6EEC324}"/>
            </c:ext>
          </c:extLst>
        </c:ser>
        <c:dLbls>
          <c:showLegendKey val="0"/>
          <c:showVal val="0"/>
          <c:showCatName val="0"/>
          <c:showSerName val="0"/>
          <c:showPercent val="0"/>
          <c:showBubbleSize val="0"/>
        </c:dLbls>
        <c:gapWidth val="219"/>
        <c:overlap val="-27"/>
        <c:axId val="1159383872"/>
        <c:axId val="1159388672"/>
      </c:barChart>
      <c:catAx>
        <c:axId val="11593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388672"/>
        <c:crosses val="autoZero"/>
        <c:auto val="1"/>
        <c:lblAlgn val="ctr"/>
        <c:lblOffset val="100"/>
        <c:noMultiLvlLbl val="0"/>
      </c:catAx>
      <c:valAx>
        <c:axId val="115938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3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[Exploratory Data Analysis (EDA).xlsx]pie chart!PivotTable1</c:name>
    <c:fmtId val="4"/>
  </c:pivotSource>
  <c:chart>
    <c:title>
      <c:tx>
        <c:rich>
          <a:bodyPr rot="0" spcFirstLastPara="1" vertOverflow="ellipsis" vert="horz" wrap="square" anchor="ctr" anchorCtr="1"/>
          <a:lstStyle/>
          <a:p>
            <a:pPr>
              <a:defRPr sz="1200" b="1" i="0" u="none" strike="noStrike" kern="1200" spc="0" baseline="0">
                <a:solidFill>
                  <a:schemeClr val="dk1"/>
                </a:solidFill>
                <a:latin typeface="Calibri" panose="020F0502020204030204" pitchFamily="34" charset="0"/>
                <a:ea typeface="+mn-ea"/>
                <a:cs typeface="Calibri" panose="020F0502020204030204" pitchFamily="34" charset="0"/>
              </a:defRPr>
            </a:pPr>
            <a:r>
              <a:rPr lang="en-ZA" sz="1200" b="1">
                <a:latin typeface="Calibri" panose="020F0502020204030204" pitchFamily="34" charset="0"/>
                <a:cs typeface="Calibri" panose="020F0502020204030204" pitchFamily="34" charset="0"/>
              </a:rPr>
              <a:t>Distribution of Students by Gender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5"/>
          </a:solidFill>
          <a:ln>
            <a:noFill/>
          </a:ln>
          <a:effectLst/>
        </c:spPr>
      </c:pivotFmt>
      <c:pivotFmt>
        <c:idx val="49"/>
        <c:spPr>
          <a:solidFill>
            <a:schemeClr val="accent5"/>
          </a:solidFill>
          <a:ln>
            <a:noFill/>
          </a:ln>
          <a:effectLst/>
        </c:spPr>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5">
              <a:shade val="76000"/>
            </a:schemeClr>
          </a:solidFill>
          <a:ln>
            <a:noFill/>
          </a:ln>
          <a:effectLst/>
        </c:spPr>
      </c:pivotFmt>
      <c:pivotFmt>
        <c:idx val="52"/>
        <c:spPr>
          <a:solidFill>
            <a:schemeClr val="accent5">
              <a:tint val="77000"/>
            </a:schemeClr>
          </a:solidFill>
          <a:ln>
            <a:no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5">
                  <a:shade val="76000"/>
                </a:schemeClr>
              </a:solidFill>
              <a:ln>
                <a:noFill/>
              </a:ln>
              <a:effectLst/>
            </c:spPr>
            <c:extLst>
              <c:ext xmlns:c16="http://schemas.microsoft.com/office/drawing/2014/chart" uri="{C3380CC4-5D6E-409C-BE32-E72D297353CC}">
                <c16:uniqueId val="{00000001-CD74-4FAB-AAC6-B2089221EE67}"/>
              </c:ext>
            </c:extLst>
          </c:dPt>
          <c:dPt>
            <c:idx val="1"/>
            <c:bubble3D val="0"/>
            <c:spPr>
              <a:solidFill>
                <a:schemeClr val="accent5">
                  <a:tint val="77000"/>
                </a:schemeClr>
              </a:solidFill>
              <a:ln>
                <a:noFill/>
              </a:ln>
              <a:effectLst/>
            </c:spPr>
            <c:extLst>
              <c:ext xmlns:c16="http://schemas.microsoft.com/office/drawing/2014/chart" uri="{C3380CC4-5D6E-409C-BE32-E72D297353CC}">
                <c16:uniqueId val="{00000003-CD74-4FAB-AAC6-B2089221EE6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chart'!$A$4:$A$6</c:f>
              <c:strCache>
                <c:ptCount val="2"/>
                <c:pt idx="0">
                  <c:v>Female</c:v>
                </c:pt>
                <c:pt idx="1">
                  <c:v>Male</c:v>
                </c:pt>
              </c:strCache>
            </c:strRef>
          </c:cat>
          <c:val>
            <c:numRef>
              <c:f>'pie chart'!$B$4:$B$6</c:f>
              <c:numCache>
                <c:formatCode>General</c:formatCode>
                <c:ptCount val="2"/>
                <c:pt idx="0">
                  <c:v>64</c:v>
                </c:pt>
                <c:pt idx="1">
                  <c:v>56</c:v>
                </c:pt>
              </c:numCache>
            </c:numRef>
          </c:val>
          <c:extLst>
            <c:ext xmlns:c16="http://schemas.microsoft.com/office/drawing/2014/chart" uri="{C3380CC4-5D6E-409C-BE32-E72D297353CC}">
              <c16:uniqueId val="{00000004-CD74-4FAB-AAC6-B2089221EE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[Exploratory Data Analysis (EDA).xlsx]Line chart!PivotTable5</c:name>
    <c:fmtId val="4"/>
  </c:pivotSource>
  <c:chart>
    <c:title>
      <c:tx>
        <c:rich>
          <a:bodyPr rot="0" spcFirstLastPara="1" vertOverflow="ellipsis" vert="horz" wrap="square" anchor="ctr" anchorCtr="1"/>
          <a:lstStyle/>
          <a:p>
            <a:pPr>
              <a:defRPr sz="1200" b="1" i="0" u="none" strike="noStrike" kern="1200" spc="0" baseline="0">
                <a:solidFill>
                  <a:schemeClr val="dk1"/>
                </a:solidFill>
                <a:latin typeface="Calibri" panose="020F0502020204030204" pitchFamily="34" charset="0"/>
                <a:ea typeface="+mn-ea"/>
                <a:cs typeface="Calibri" panose="020F0502020204030204" pitchFamily="34" charset="0"/>
              </a:defRPr>
            </a:pPr>
            <a:r>
              <a:rPr lang="en-ZA" sz="1200" b="1">
                <a:latin typeface="Calibri" panose="020F0502020204030204" pitchFamily="34" charset="0"/>
                <a:cs typeface="Calibri" panose="020F0502020204030204" pitchFamily="34" charset="0"/>
              </a:rPr>
              <a:t>Comparison of Quiz Submissions by Subject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Calibri" panose="020F0502020204030204" pitchFamily="34" charset="0"/>
              <a:ea typeface="+mn-ea"/>
              <a:cs typeface="Calibri" panose="020F0502020204030204" pitchFamily="34" charset="0"/>
            </a:defRPr>
          </a:pPr>
          <a:endParaRPr lang="en-ZA"/>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shade val="65000"/>
              </a:schemeClr>
            </a:solidFill>
            <a:ln w="9525">
              <a:solidFill>
                <a:schemeClr val="accent5">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chart'!$B$4</c:f>
              <c:strCache>
                <c:ptCount val="1"/>
                <c:pt idx="0">
                  <c:v>Count of Quiz1</c:v>
                </c:pt>
              </c:strCache>
            </c:strRef>
          </c:tx>
          <c:spPr>
            <a:ln w="28575" cap="rnd">
              <a:solidFill>
                <a:schemeClr val="accent5">
                  <a:shade val="65000"/>
                </a:schemeClr>
              </a:solidFill>
              <a:round/>
            </a:ln>
            <a:effectLst/>
          </c:spPr>
          <c:marker>
            <c:symbol val="circle"/>
            <c:size val="5"/>
            <c:spPr>
              <a:solidFill>
                <a:schemeClr val="accent5">
                  <a:shade val="65000"/>
                </a:schemeClr>
              </a:solidFill>
              <a:ln w="9525">
                <a:solidFill>
                  <a:schemeClr val="accent5">
                    <a:shade val="65000"/>
                  </a:schemeClr>
                </a:solidFill>
              </a:ln>
              <a:effectLst/>
            </c:spPr>
          </c:marker>
          <c:cat>
            <c:strRef>
              <c:f>'Line chart'!$A$5:$A$8</c:f>
              <c:strCache>
                <c:ptCount val="3"/>
                <c:pt idx="0">
                  <c:v>English</c:v>
                </c:pt>
                <c:pt idx="1">
                  <c:v>Maths</c:v>
                </c:pt>
                <c:pt idx="2">
                  <c:v>Science</c:v>
                </c:pt>
              </c:strCache>
            </c:strRef>
          </c:cat>
          <c:val>
            <c:numRef>
              <c:f>'Line chart'!$B$5:$B$8</c:f>
              <c:numCache>
                <c:formatCode>General</c:formatCode>
                <c:ptCount val="3"/>
                <c:pt idx="0">
                  <c:v>33</c:v>
                </c:pt>
                <c:pt idx="1">
                  <c:v>49</c:v>
                </c:pt>
                <c:pt idx="2">
                  <c:v>38</c:v>
                </c:pt>
              </c:numCache>
            </c:numRef>
          </c:val>
          <c:smooth val="0"/>
          <c:extLst>
            <c:ext xmlns:c16="http://schemas.microsoft.com/office/drawing/2014/chart" uri="{C3380CC4-5D6E-409C-BE32-E72D297353CC}">
              <c16:uniqueId val="{00000000-4DF2-488F-87E1-9BE7ECC4092C}"/>
            </c:ext>
          </c:extLst>
        </c:ser>
        <c:ser>
          <c:idx val="1"/>
          <c:order val="1"/>
          <c:tx>
            <c:strRef>
              <c:f>'Line chart'!$C$4</c:f>
              <c:strCache>
                <c:ptCount val="1"/>
                <c:pt idx="0">
                  <c:v>Count of Quiz2</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'Line chart'!$A$5:$A$8</c:f>
              <c:strCache>
                <c:ptCount val="3"/>
                <c:pt idx="0">
                  <c:v>English</c:v>
                </c:pt>
                <c:pt idx="1">
                  <c:v>Maths</c:v>
                </c:pt>
                <c:pt idx="2">
                  <c:v>Science</c:v>
                </c:pt>
              </c:strCache>
            </c:strRef>
          </c:cat>
          <c:val>
            <c:numRef>
              <c:f>'Line chart'!$C$5:$C$8</c:f>
              <c:numCache>
                <c:formatCode>General</c:formatCode>
                <c:ptCount val="3"/>
                <c:pt idx="0">
                  <c:v>33</c:v>
                </c:pt>
                <c:pt idx="1">
                  <c:v>49</c:v>
                </c:pt>
                <c:pt idx="2">
                  <c:v>38</c:v>
                </c:pt>
              </c:numCache>
            </c:numRef>
          </c:val>
          <c:smooth val="0"/>
          <c:extLst>
            <c:ext xmlns:c16="http://schemas.microsoft.com/office/drawing/2014/chart" uri="{C3380CC4-5D6E-409C-BE32-E72D297353CC}">
              <c16:uniqueId val="{00000001-4DF2-488F-87E1-9BE7ECC4092C}"/>
            </c:ext>
          </c:extLst>
        </c:ser>
        <c:ser>
          <c:idx val="2"/>
          <c:order val="2"/>
          <c:tx>
            <c:strRef>
              <c:f>'Line chart'!$D$4</c:f>
              <c:strCache>
                <c:ptCount val="1"/>
                <c:pt idx="0">
                  <c:v>Count of Quiz3</c:v>
                </c:pt>
              </c:strCache>
            </c:strRef>
          </c:tx>
          <c:spPr>
            <a:ln w="28575" cap="rnd">
              <a:solidFill>
                <a:schemeClr val="accent5">
                  <a:tint val="65000"/>
                </a:schemeClr>
              </a:solidFill>
              <a:round/>
            </a:ln>
            <a:effectLst/>
          </c:spPr>
          <c:marker>
            <c:symbol val="circle"/>
            <c:size val="5"/>
            <c:spPr>
              <a:solidFill>
                <a:schemeClr val="accent5">
                  <a:tint val="65000"/>
                </a:schemeClr>
              </a:solidFill>
              <a:ln w="9525">
                <a:solidFill>
                  <a:schemeClr val="accent5">
                    <a:tint val="65000"/>
                  </a:schemeClr>
                </a:solidFill>
              </a:ln>
              <a:effectLst/>
            </c:spPr>
          </c:marker>
          <c:cat>
            <c:strRef>
              <c:f>'Line chart'!$A$5:$A$8</c:f>
              <c:strCache>
                <c:ptCount val="3"/>
                <c:pt idx="0">
                  <c:v>English</c:v>
                </c:pt>
                <c:pt idx="1">
                  <c:v>Maths</c:v>
                </c:pt>
                <c:pt idx="2">
                  <c:v>Science</c:v>
                </c:pt>
              </c:strCache>
            </c:strRef>
          </c:cat>
          <c:val>
            <c:numRef>
              <c:f>'Line chart'!$D$5:$D$8</c:f>
              <c:numCache>
                <c:formatCode>General</c:formatCode>
                <c:ptCount val="3"/>
                <c:pt idx="0">
                  <c:v>33</c:v>
                </c:pt>
                <c:pt idx="1">
                  <c:v>49</c:v>
                </c:pt>
                <c:pt idx="2">
                  <c:v>38</c:v>
                </c:pt>
              </c:numCache>
            </c:numRef>
          </c:val>
          <c:smooth val="0"/>
          <c:extLst>
            <c:ext xmlns:c16="http://schemas.microsoft.com/office/drawing/2014/chart" uri="{C3380CC4-5D6E-409C-BE32-E72D297353CC}">
              <c16:uniqueId val="{00000002-4DF2-488F-87E1-9BE7ECC4092C}"/>
            </c:ext>
          </c:extLst>
        </c:ser>
        <c:dLbls>
          <c:showLegendKey val="0"/>
          <c:showVal val="0"/>
          <c:showCatName val="0"/>
          <c:showSerName val="0"/>
          <c:showPercent val="0"/>
          <c:showBubbleSize val="0"/>
        </c:dLbls>
        <c:marker val="1"/>
        <c:smooth val="0"/>
        <c:axId val="1159356992"/>
        <c:axId val="1159363712"/>
      </c:lineChart>
      <c:catAx>
        <c:axId val="115935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Subject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9363712"/>
        <c:crosses val="autoZero"/>
        <c:auto val="1"/>
        <c:lblAlgn val="ctr"/>
        <c:lblOffset val="100"/>
        <c:noMultiLvlLbl val="0"/>
      </c:catAx>
      <c:valAx>
        <c:axId val="115936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Quiz Scores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93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[Exploratory Data Analysis (EDA).xlsx]bar graph!PivotTable2</c:name>
    <c:fmtId val="3"/>
  </c:pivotSource>
  <c:chart>
    <c:title>
      <c:tx>
        <c:rich>
          <a:bodyPr rot="0" spcFirstLastPara="1" vertOverflow="ellipsis" vert="horz" wrap="square" anchor="ctr" anchorCtr="1"/>
          <a:lstStyle/>
          <a:p>
            <a:pPr>
              <a:defRPr sz="1200" b="1" i="0" u="none" strike="noStrike" kern="1200" spc="0" baseline="0">
                <a:solidFill>
                  <a:schemeClr val="dk1"/>
                </a:solidFill>
                <a:latin typeface="Calibri" panose="020F0502020204030204" pitchFamily="34" charset="0"/>
                <a:ea typeface="+mn-ea"/>
                <a:cs typeface="Calibri" panose="020F0502020204030204" pitchFamily="34" charset="0"/>
              </a:defRPr>
            </a:pPr>
            <a:r>
              <a:rPr lang="en-ZA" sz="1200" b="1">
                <a:latin typeface="Calibri" panose="020F0502020204030204" pitchFamily="34" charset="0"/>
                <a:cs typeface="Calibri" panose="020F0502020204030204" pitchFamily="34" charset="0"/>
              </a:rPr>
              <a:t>Total Count of Final Scores by Subject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Calibri" panose="020F0502020204030204" pitchFamily="34" charset="0"/>
              <a:ea typeface="+mn-ea"/>
              <a:cs typeface="Calibri" panose="020F0502020204030204" pitchFamily="34" charset="0"/>
            </a:defRPr>
          </a:pPr>
          <a:endParaRPr lang="en-ZA"/>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graph'!$B$3</c:f>
              <c:strCache>
                <c:ptCount val="1"/>
                <c:pt idx="0">
                  <c:v>Total</c:v>
                </c:pt>
              </c:strCache>
            </c:strRef>
          </c:tx>
          <c:spPr>
            <a:solidFill>
              <a:schemeClr val="accent5"/>
            </a:solidFill>
            <a:ln>
              <a:noFill/>
            </a:ln>
            <a:effectLst/>
          </c:spPr>
          <c:invertIfNegative val="0"/>
          <c:cat>
            <c:strRef>
              <c:f>'bar graph'!$A$4:$A$7</c:f>
              <c:strCache>
                <c:ptCount val="3"/>
                <c:pt idx="0">
                  <c:v>Maths</c:v>
                </c:pt>
                <c:pt idx="1">
                  <c:v>Science</c:v>
                </c:pt>
                <c:pt idx="2">
                  <c:v>English</c:v>
                </c:pt>
              </c:strCache>
            </c:strRef>
          </c:cat>
          <c:val>
            <c:numRef>
              <c:f>'bar graph'!$B$4:$B$7</c:f>
              <c:numCache>
                <c:formatCode>General</c:formatCode>
                <c:ptCount val="3"/>
                <c:pt idx="0">
                  <c:v>49</c:v>
                </c:pt>
                <c:pt idx="1">
                  <c:v>38</c:v>
                </c:pt>
                <c:pt idx="2">
                  <c:v>33</c:v>
                </c:pt>
              </c:numCache>
            </c:numRef>
          </c:val>
          <c:extLst>
            <c:ext xmlns:c16="http://schemas.microsoft.com/office/drawing/2014/chart" uri="{C3380CC4-5D6E-409C-BE32-E72D297353CC}">
              <c16:uniqueId val="{00000000-5E58-4C9E-A39B-E19AB1E02A90}"/>
            </c:ext>
          </c:extLst>
        </c:ser>
        <c:dLbls>
          <c:showLegendKey val="0"/>
          <c:showVal val="0"/>
          <c:showCatName val="0"/>
          <c:showSerName val="0"/>
          <c:showPercent val="0"/>
          <c:showBubbleSize val="0"/>
        </c:dLbls>
        <c:gapWidth val="219"/>
        <c:overlap val="-27"/>
        <c:axId val="1159408832"/>
        <c:axId val="1159380992"/>
      </c:barChart>
      <c:catAx>
        <c:axId val="1159408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Subject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9380992"/>
        <c:crosses val="autoZero"/>
        <c:auto val="1"/>
        <c:lblAlgn val="ctr"/>
        <c:lblOffset val="100"/>
        <c:noMultiLvlLbl val="0"/>
      </c:catAx>
      <c:valAx>
        <c:axId val="115938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Final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940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228600</xdr:colOff>
      <xdr:row>6</xdr:row>
      <xdr:rowOff>42862</xdr:rowOff>
    </xdr:from>
    <xdr:to>
      <xdr:col>15</xdr:col>
      <xdr:colOff>533400</xdr:colOff>
      <xdr:row>20</xdr:row>
      <xdr:rowOff>119062</xdr:rowOff>
    </xdr:to>
    <xdr:graphicFrame macro="">
      <xdr:nvGraphicFramePr>
        <xdr:cNvPr id="2" name="Chart 1">
          <a:extLst>
            <a:ext uri="{FF2B5EF4-FFF2-40B4-BE49-F238E27FC236}">
              <a16:creationId xmlns:a16="http://schemas.microsoft.com/office/drawing/2014/main" id="{EC3751AA-EE16-045E-7917-F5C44132A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200025</xdr:colOff>
      <xdr:row>6</xdr:row>
      <xdr:rowOff>185737</xdr:rowOff>
    </xdr:from>
    <xdr:to>
      <xdr:col>12</xdr:col>
      <xdr:colOff>504825</xdr:colOff>
      <xdr:row>21</xdr:row>
      <xdr:rowOff>71437</xdr:rowOff>
    </xdr:to>
    <xdr:graphicFrame macro="">
      <xdr:nvGraphicFramePr>
        <xdr:cNvPr id="2" name="Chart 1">
          <a:extLst>
            <a:ext uri="{FF2B5EF4-FFF2-40B4-BE49-F238E27FC236}">
              <a16:creationId xmlns:a16="http://schemas.microsoft.com/office/drawing/2014/main" id="{E81329C6-BEAF-2460-6C34-7E0AA834C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5</xdr:row>
      <xdr:rowOff>76200</xdr:rowOff>
    </xdr:from>
    <xdr:to>
      <xdr:col>4</xdr:col>
      <xdr:colOff>104775</xdr:colOff>
      <xdr:row>7</xdr:row>
      <xdr:rowOff>161925</xdr:rowOff>
    </xdr:to>
    <xdr:sp macro="" textlink="$B$4">
      <xdr:nvSpPr>
        <xdr:cNvPr id="4" name="Rectangle: Rounded Corners 3">
          <a:extLst>
            <a:ext uri="{FF2B5EF4-FFF2-40B4-BE49-F238E27FC236}">
              <a16:creationId xmlns:a16="http://schemas.microsoft.com/office/drawing/2014/main" id="{84689CD6-67A2-8DF7-1E0B-DD633BEDA73B}"/>
            </a:ext>
          </a:extLst>
        </xdr:cNvPr>
        <xdr:cNvSpPr/>
      </xdr:nvSpPr>
      <xdr:spPr>
        <a:xfrm>
          <a:off x="2295525" y="1028700"/>
          <a:ext cx="942975" cy="466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78F084-EC9E-470A-845F-2106A9C39C49}" type="TxLink">
            <a:rPr lang="en-US" sz="1400" b="1" i="0" u="none" strike="noStrike">
              <a:solidFill>
                <a:srgbClr val="000000"/>
              </a:solidFill>
              <a:latin typeface="Calibri" panose="020F0502020204030204" pitchFamily="34" charset="0"/>
              <a:cs typeface="Calibri" panose="020F0502020204030204" pitchFamily="34" charset="0"/>
            </a:rPr>
            <a:pPr algn="ctr"/>
            <a:t>120</a:t>
          </a:fld>
          <a:endParaRPr lang="en-ZA" sz="1400" b="1">
            <a:latin typeface="Calibri" panose="020F0502020204030204" pitchFamily="34" charset="0"/>
            <a:cs typeface="Calibri" panose="020F0502020204030204" pitchFamily="34" charset="0"/>
          </a:endParaRPr>
        </a:p>
      </xdr:txBody>
    </xdr:sp>
    <xdr:clientData/>
  </xdr:twoCellAnchor>
  <xdr:twoCellAnchor editAs="absolute">
    <xdr:from>
      <xdr:col>1</xdr:col>
      <xdr:colOff>9525</xdr:colOff>
      <xdr:row>9</xdr:row>
      <xdr:rowOff>161925</xdr:rowOff>
    </xdr:from>
    <xdr:to>
      <xdr:col>4</xdr:col>
      <xdr:colOff>9525</xdr:colOff>
      <xdr:row>16</xdr:row>
      <xdr:rowOff>76200</xdr:rowOff>
    </xdr:to>
    <mc:AlternateContent xmlns:mc="http://schemas.openxmlformats.org/markup-compatibility/2006" xmlns:sle15="http://schemas.microsoft.com/office/drawing/2012/slicer">
      <mc:Choice Requires="sle15">
        <xdr:graphicFrame macro="">
          <xdr:nvGraphicFramePr>
            <xdr:cNvPr id="5" name="Gender">
              <a:extLst>
                <a:ext uri="{FF2B5EF4-FFF2-40B4-BE49-F238E27FC236}">
                  <a16:creationId xmlns:a16="http://schemas.microsoft.com/office/drawing/2014/main" id="{3D7432D7-12D1-44CE-A11A-901D1B47FF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4450" y="1876425"/>
              <a:ext cx="1828800" cy="1247775"/>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xdr:colOff>
      <xdr:row>6</xdr:row>
      <xdr:rowOff>57151</xdr:rowOff>
    </xdr:from>
    <xdr:to>
      <xdr:col>10</xdr:col>
      <xdr:colOff>581025</xdr:colOff>
      <xdr:row>17</xdr:row>
      <xdr:rowOff>28575</xdr:rowOff>
    </xdr:to>
    <xdr:graphicFrame macro="">
      <xdr:nvGraphicFramePr>
        <xdr:cNvPr id="4" name="Chart 3">
          <a:extLst>
            <a:ext uri="{FF2B5EF4-FFF2-40B4-BE49-F238E27FC236}">
              <a16:creationId xmlns:a16="http://schemas.microsoft.com/office/drawing/2014/main" id="{D665AC9A-1056-4624-885E-5EE7757D8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xdr:colOff>
      <xdr:row>6</xdr:row>
      <xdr:rowOff>47626</xdr:rowOff>
    </xdr:from>
    <xdr:to>
      <xdr:col>16</xdr:col>
      <xdr:colOff>581025</xdr:colOff>
      <xdr:row>17</xdr:row>
      <xdr:rowOff>19050</xdr:rowOff>
    </xdr:to>
    <xdr:graphicFrame macro="">
      <xdr:nvGraphicFramePr>
        <xdr:cNvPr id="5" name="Chart 4">
          <a:extLst>
            <a:ext uri="{FF2B5EF4-FFF2-40B4-BE49-F238E27FC236}">
              <a16:creationId xmlns:a16="http://schemas.microsoft.com/office/drawing/2014/main" id="{F19B1A6B-4103-4F4C-8ED3-0ECCB9069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17</xdr:row>
      <xdr:rowOff>66676</xdr:rowOff>
    </xdr:from>
    <xdr:to>
      <xdr:col>10</xdr:col>
      <xdr:colOff>581025</xdr:colOff>
      <xdr:row>27</xdr:row>
      <xdr:rowOff>180976</xdr:rowOff>
    </xdr:to>
    <xdr:graphicFrame macro="">
      <xdr:nvGraphicFramePr>
        <xdr:cNvPr id="6" name="Chart 5">
          <a:extLst>
            <a:ext uri="{FF2B5EF4-FFF2-40B4-BE49-F238E27FC236}">
              <a16:creationId xmlns:a16="http://schemas.microsoft.com/office/drawing/2014/main" id="{B84D9516-2ED5-44F3-8D51-1F45EA475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600075</xdr:colOff>
      <xdr:row>1</xdr:row>
      <xdr:rowOff>9525</xdr:rowOff>
    </xdr:from>
    <xdr:to>
      <xdr:col>16</xdr:col>
      <xdr:colOff>361950</xdr:colOff>
      <xdr:row>3</xdr:row>
      <xdr:rowOff>66674</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E20F43E4-5D5C-6B70-9873-5B3CB1DAED5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001125" y="57150"/>
              <a:ext cx="1533525" cy="4381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152400</xdr:colOff>
      <xdr:row>4</xdr:row>
      <xdr:rowOff>38100</xdr:rowOff>
    </xdr:from>
    <xdr:to>
      <xdr:col>12</xdr:col>
      <xdr:colOff>219076</xdr:colOff>
      <xdr:row>5</xdr:row>
      <xdr:rowOff>171450</xdr:rowOff>
    </xdr:to>
    <xdr:grpSp>
      <xdr:nvGrpSpPr>
        <xdr:cNvPr id="9" name="Group 8">
          <a:extLst>
            <a:ext uri="{FF2B5EF4-FFF2-40B4-BE49-F238E27FC236}">
              <a16:creationId xmlns:a16="http://schemas.microsoft.com/office/drawing/2014/main" id="{33DF206C-8D84-79D4-CF0E-96574C8EAD8D}"/>
            </a:ext>
          </a:extLst>
        </xdr:cNvPr>
        <xdr:cNvGrpSpPr/>
      </xdr:nvGrpSpPr>
      <xdr:grpSpPr>
        <a:xfrm>
          <a:off x="5638800" y="542925"/>
          <a:ext cx="1895476" cy="323850"/>
          <a:chOff x="3952875" y="561975"/>
          <a:chExt cx="1895476" cy="352426"/>
        </a:xfrm>
      </xdr:grpSpPr>
      <xdr:sp macro="" textlink="KPI!$B$4">
        <xdr:nvSpPr>
          <xdr:cNvPr id="2" name="Rectangle: Rounded Corners 1">
            <a:extLst>
              <a:ext uri="{FF2B5EF4-FFF2-40B4-BE49-F238E27FC236}">
                <a16:creationId xmlns:a16="http://schemas.microsoft.com/office/drawing/2014/main" id="{85E4BACA-7AAE-47CD-930B-A7E8BD3722C7}"/>
              </a:ext>
            </a:extLst>
          </xdr:cNvPr>
          <xdr:cNvSpPr/>
        </xdr:nvSpPr>
        <xdr:spPr>
          <a:xfrm>
            <a:off x="5105401" y="561975"/>
            <a:ext cx="742950" cy="352426"/>
          </a:xfrm>
          <a:prstGeom prst="roundRect">
            <a:avLst>
              <a:gd name="adj" fmla="val 32883"/>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FB39C227-5A2C-40E8-8B08-2E6355A9A61E}" type="TxLink">
              <a:rPr lang="en-US" sz="1400" b="1" i="0" u="none" strike="noStrike">
                <a:solidFill>
                  <a:schemeClr val="accent5">
                    <a:lumMod val="50000"/>
                  </a:schemeClr>
                </a:solidFill>
                <a:latin typeface="Calibri" panose="020F0502020204030204" pitchFamily="34" charset="0"/>
                <a:cs typeface="Calibri" panose="020F0502020204030204" pitchFamily="34" charset="0"/>
              </a:rPr>
              <a:pPr algn="ctr"/>
              <a:t>120</a:t>
            </a:fld>
            <a:endParaRPr lang="en-ZA" sz="1400" b="1">
              <a:solidFill>
                <a:schemeClr val="accent5">
                  <a:lumMod val="50000"/>
                </a:schemeClr>
              </a:solidFill>
              <a:latin typeface="Calibri" panose="020F0502020204030204" pitchFamily="34" charset="0"/>
              <a:cs typeface="Calibri" panose="020F0502020204030204" pitchFamily="34" charset="0"/>
            </a:endParaRPr>
          </a:p>
        </xdr:txBody>
      </xdr:sp>
      <xdr:sp macro="" textlink="">
        <xdr:nvSpPr>
          <xdr:cNvPr id="8" name="TextBox 7">
            <a:extLst>
              <a:ext uri="{FF2B5EF4-FFF2-40B4-BE49-F238E27FC236}">
                <a16:creationId xmlns:a16="http://schemas.microsoft.com/office/drawing/2014/main" id="{8F3D2CBB-E96B-86C5-4EDD-E67EFD9BBE7C}"/>
              </a:ext>
            </a:extLst>
          </xdr:cNvPr>
          <xdr:cNvSpPr txBox="1"/>
        </xdr:nvSpPr>
        <xdr:spPr>
          <a:xfrm>
            <a:off x="3952875" y="658905"/>
            <a:ext cx="1266824" cy="172573"/>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b"/>
          <a:lstStyle/>
          <a:p>
            <a:pPr algn="ctr"/>
            <a:r>
              <a:rPr lang="en-ZA" sz="1000" b="1">
                <a:latin typeface="Calibri" panose="020F0502020204030204" pitchFamily="34" charset="0"/>
                <a:cs typeface="Calibri" panose="020F0502020204030204" pitchFamily="34" charset="0"/>
              </a:rPr>
              <a:t>Number Of Students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JHB" refreshedDate="46099.566900578706" createdVersion="8" refreshedVersion="8" minRefreshableVersion="3" recordCount="121" xr:uid="{78B438B7-E882-40E2-AFD7-83F7DA7C5FD9}">
  <cacheSource type="worksheet">
    <worksheetSource ref="A1:J1048576" sheet="Week5_Cleaned_Dataset"/>
  </cacheSource>
  <cacheFields count="11">
    <cacheField name="Student_ID" numFmtId="0">
      <sharedItems containsBlank="1"/>
    </cacheField>
    <cacheField name="Gender" numFmtId="0">
      <sharedItems containsBlank="1" count="3">
        <s v="Female"/>
        <s v="Male"/>
        <m/>
      </sharedItems>
    </cacheField>
    <cacheField name="Subject" numFmtId="0">
      <sharedItems containsBlank="1" count="4">
        <s v="English"/>
        <s v="Maths"/>
        <s v="Science"/>
        <m/>
      </sharedItems>
    </cacheField>
    <cacheField name="Study_Hours_per_Week" numFmtId="2">
      <sharedItems containsBlank="1"/>
    </cacheField>
    <cacheField name="Attendance_Rate" numFmtId="2">
      <sharedItems containsBlank="1"/>
    </cacheField>
    <cacheField name="Previous_Score" numFmtId="2">
      <sharedItems containsBlank="1"/>
    </cacheField>
    <cacheField name="Quiz1" numFmtId="2">
      <sharedItems containsBlank="1"/>
    </cacheField>
    <cacheField name="Quiz2" numFmtId="2">
      <sharedItems containsBlank="1"/>
    </cacheField>
    <cacheField name="Quiz3" numFmtId="2">
      <sharedItems containsBlank="1"/>
    </cacheField>
    <cacheField name="Final_Score" numFmtId="2">
      <sharedItems containsBlank="1"/>
    </cacheField>
    <cacheField name="Field1" numFmtId="0" formula="COUNT(Student_ID)" databaseField="0"/>
  </cacheFields>
  <extLst>
    <ext xmlns:x14="http://schemas.microsoft.com/office/spreadsheetml/2009/9/main" uri="{725AE2AE-9491-48be-B2B4-4EB974FC3084}">
      <x14:pivotCacheDefinition pivotCacheId="1231238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S1000"/>
    <x v="0"/>
    <x v="0"/>
    <s v="7.3"/>
    <s v="0.88"/>
    <s v="70.0"/>
    <s v="30.0"/>
    <s v="46.0"/>
    <s v="58.0"/>
    <s v="45.0"/>
  </r>
  <r>
    <s v="S1001"/>
    <x v="1"/>
    <x v="0"/>
    <s v="10.1"/>
    <s v="0.89"/>
    <s v="78.0"/>
    <s v="55.0"/>
    <s v="64.0"/>
    <s v="73.0"/>
    <s v="58.0"/>
  </r>
  <r>
    <s v="S1002"/>
    <x v="1"/>
    <x v="1"/>
    <s v="9.4"/>
    <s v="0.98"/>
    <s v="50.0"/>
    <s v="53.0"/>
    <s v="47.0"/>
    <s v="55.0"/>
    <s v="44.0"/>
  </r>
  <r>
    <s v="S1003"/>
    <x v="1"/>
    <x v="1"/>
    <s v="7.8"/>
    <s v="0.83"/>
    <s v="70.0"/>
    <s v="50.0"/>
    <s v="65.0"/>
    <s v="58.0"/>
    <s v="58.0"/>
  </r>
  <r>
    <s v="S1004"/>
    <x v="0"/>
    <x v="1"/>
    <s v="5.5"/>
    <s v="0.92"/>
    <s v="75.0"/>
    <s v="49.0"/>
    <s v="28.0"/>
    <s v="51.0"/>
    <s v="47.0"/>
  </r>
  <r>
    <s v="S1005"/>
    <x v="0"/>
    <x v="2"/>
    <s v="3.5"/>
    <s v="0.86"/>
    <s v="41.0"/>
    <s v="22.0"/>
    <s v="50.0"/>
    <s v="16.0"/>
    <s v="39.0"/>
  </r>
  <r>
    <s v="S1006"/>
    <x v="0"/>
    <x v="0"/>
    <s v="6.7"/>
    <s v="0.86"/>
    <s v="48.0"/>
    <s v="40.0"/>
    <s v="50.0"/>
    <s v="44.0"/>
    <s v="41.0"/>
  </r>
  <r>
    <s v="S1007"/>
    <x v="1"/>
    <x v="0"/>
    <s v="10.6"/>
    <s v="0.97"/>
    <s v="38.0"/>
    <s v="46.0"/>
    <s v="30.0"/>
    <s v="47.0"/>
    <s v="42.0"/>
  </r>
  <r>
    <s v="S1008"/>
    <x v="1"/>
    <x v="1"/>
    <s v="8.6"/>
    <s v="0.95"/>
    <s v="59.0"/>
    <s v="59.0"/>
    <s v="48.0"/>
    <s v="53.0"/>
    <s v="52.0"/>
  </r>
  <r>
    <s v="S1009"/>
    <x v="1"/>
    <x v="2"/>
    <s v="4.3"/>
    <s v="0.95"/>
    <s v="71.0"/>
    <s v="43.0"/>
    <s v="41.0"/>
    <s v="36.0"/>
    <s v="48.0"/>
  </r>
  <r>
    <s v="S1010"/>
    <x v="0"/>
    <x v="2"/>
    <s v="8.5"/>
    <s v="0.98"/>
    <s v="80.0"/>
    <s v="60.0"/>
    <s v="49.0"/>
    <s v="53.0"/>
    <s v="50.0"/>
  </r>
  <r>
    <s v="S1011"/>
    <x v="1"/>
    <x v="1"/>
    <s v="9.2"/>
    <s v="0.88"/>
    <s v="63.0"/>
    <s v="50.0"/>
    <s v="48.0"/>
    <s v="63.0"/>
    <s v="53.0"/>
  </r>
  <r>
    <s v="S1012"/>
    <x v="1"/>
    <x v="1"/>
    <s v="5.3"/>
    <s v="0.93"/>
    <s v="82.0"/>
    <s v="45.0"/>
    <s v="43.0"/>
    <s v="54.0"/>
    <s v="50.0"/>
  </r>
  <r>
    <s v="S1013"/>
    <x v="0"/>
    <x v="1"/>
    <s v="8.5"/>
    <s v="0.86"/>
    <s v="45.0"/>
    <s v="40.0"/>
    <s v="50.0"/>
    <s v="49.0"/>
    <s v="49.0"/>
  </r>
  <r>
    <s v="S1014"/>
    <x v="0"/>
    <x v="0"/>
    <s v="8.2"/>
    <s v="0.91"/>
    <s v="42.0"/>
    <s v="45.0"/>
    <s v="49.0"/>
    <s v="42.0"/>
    <s v="41.0"/>
  </r>
  <r>
    <s v="S1015"/>
    <x v="0"/>
    <x v="1"/>
    <s v="4.6"/>
    <s v="0.87"/>
    <s v="61.0"/>
    <s v="35.0"/>
    <s v="51.0"/>
    <s v="42.0"/>
    <s v="44.0"/>
  </r>
  <r>
    <s v="S1016"/>
    <x v="0"/>
    <x v="2"/>
    <s v="9.1"/>
    <s v="0.89"/>
    <s v="67.0"/>
    <s v="56.0"/>
    <s v="61.0"/>
    <s v="64.0"/>
    <s v="61.0"/>
  </r>
  <r>
    <s v="S1017"/>
    <x v="1"/>
    <x v="0"/>
    <s v="9.7"/>
    <s v="0.93"/>
    <s v="62.0"/>
    <s v="71.0"/>
    <s v="46.0"/>
    <s v="51.0"/>
    <s v="45.0"/>
  </r>
  <r>
    <s v="S1018"/>
    <x v="0"/>
    <x v="2"/>
    <s v="11.2"/>
    <s v="0.81"/>
    <s v="37.0"/>
    <s v="55.0"/>
    <s v="44.0"/>
    <s v="47.0"/>
    <s v="46.0"/>
  </r>
  <r>
    <s v="S1019"/>
    <x v="0"/>
    <x v="0"/>
    <s v="11.2"/>
    <s v="1.0"/>
    <s v="61.0"/>
    <s v="55.0"/>
    <s v="63.0"/>
    <s v="55.0"/>
    <s v="50.0"/>
  </r>
  <r>
    <s v="S1020"/>
    <x v="1"/>
    <x v="0"/>
    <s v="3.9"/>
    <s v="0.8"/>
    <s v="46.0"/>
    <s v="40.0"/>
    <s v="22.0"/>
    <s v="29.0"/>
    <s v="36.0"/>
  </r>
  <r>
    <s v="S1021"/>
    <x v="0"/>
    <x v="1"/>
    <s v="5.2"/>
    <s v="0.78"/>
    <s v="70.0"/>
    <s v="40.0"/>
    <s v="52.0"/>
    <s v="46.0"/>
    <s v="37.0"/>
  </r>
  <r>
    <s v="S1022"/>
    <x v="0"/>
    <x v="2"/>
    <s v="9.5"/>
    <s v="0.97"/>
    <s v="66.0"/>
    <s v="39.0"/>
    <s v="54.0"/>
    <s v="59.0"/>
    <s v="47.0"/>
  </r>
  <r>
    <s v="S1023"/>
    <x v="0"/>
    <x v="1"/>
    <s v="9.5"/>
    <s v="0.89"/>
    <s v="51.0"/>
    <s v="41.0"/>
    <s v="47.0"/>
    <s v="45.0"/>
    <s v="47.0"/>
  </r>
  <r>
    <s v="S1024"/>
    <x v="0"/>
    <x v="1"/>
    <s v="9.5"/>
    <s v="0.93"/>
    <s v="56.0"/>
    <s v="36.0"/>
    <s v="57.0"/>
    <s v="62.0"/>
    <s v="59.0"/>
  </r>
  <r>
    <s v="S1025"/>
    <x v="1"/>
    <x v="1"/>
    <s v="19.6"/>
    <s v="0.93"/>
    <s v="49.0"/>
    <s v="76.0"/>
    <s v="80.0"/>
    <s v="66.0"/>
    <s v="66.0"/>
  </r>
  <r>
    <s v="S1026"/>
    <x v="0"/>
    <x v="2"/>
    <s v="9.7"/>
    <s v="0.88"/>
    <s v="61.0"/>
    <s v="54.0"/>
    <s v="52.0"/>
    <s v="53.0"/>
    <s v="47.0"/>
  </r>
  <r>
    <s v="S1027"/>
    <x v="0"/>
    <x v="2"/>
    <s v="11.4"/>
    <s v="0.81"/>
    <s v="73.0"/>
    <s v="77.0"/>
    <s v="74.0"/>
    <s v="61.0"/>
    <s v="71.0"/>
  </r>
  <r>
    <s v="S1028"/>
    <x v="1"/>
    <x v="1"/>
    <s v="10.9"/>
    <s v="0.89"/>
    <s v="50.0"/>
    <s v="55.0"/>
    <s v="44.0"/>
    <s v="64.0"/>
    <s v="45.0"/>
  </r>
  <r>
    <s v="S1029"/>
    <x v="0"/>
    <x v="1"/>
    <s v="10.0"/>
    <s v="0.83"/>
    <s v="68.0"/>
    <s v="55.0"/>
    <s v="64.0"/>
    <s v="61.0"/>
    <s v="45.0"/>
  </r>
  <r>
    <s v="S1030"/>
    <x v="1"/>
    <x v="0"/>
    <s v="7.1"/>
    <s v="0.96"/>
    <s v="56.0"/>
    <s v="50.0"/>
    <s v="50.0"/>
    <s v="54.0"/>
    <s v="51.0"/>
  </r>
  <r>
    <s v="S1031"/>
    <x v="0"/>
    <x v="1"/>
    <s v="10.3"/>
    <s v="0.87"/>
    <s v="52.0"/>
    <s v="34.0"/>
    <s v="50.0"/>
    <s v="40.0"/>
    <s v="39.0"/>
  </r>
  <r>
    <s v="S1032"/>
    <x v="0"/>
    <x v="1"/>
    <s v="5.7"/>
    <s v="0.81"/>
    <s v="61.0"/>
    <s v="43.0"/>
    <s v="46.0"/>
    <s v="47.0"/>
    <s v="39.0"/>
  </r>
  <r>
    <s v="S1033"/>
    <x v="1"/>
    <x v="2"/>
    <s v="7.3"/>
    <s v="0.85"/>
    <s v="50.0"/>
    <s v="48.0"/>
    <s v="33.0"/>
    <s v="50.0"/>
    <s v="46.0"/>
  </r>
  <r>
    <s v="S1034"/>
    <x v="1"/>
    <x v="0"/>
    <s v="6.5"/>
    <s v="0.91"/>
    <s v="55.0"/>
    <s v="30.0"/>
    <s v="50.0"/>
    <s v="44.0"/>
    <s v="42.0"/>
  </r>
  <r>
    <s v="S1035"/>
    <x v="1"/>
    <x v="1"/>
    <s v="8.2"/>
    <s v="0.83"/>
    <s v="48.0"/>
    <s v="53.0"/>
    <s v="43.0"/>
    <s v="53.0"/>
    <s v="45.0"/>
  </r>
  <r>
    <s v="S1036"/>
    <x v="0"/>
    <x v="2"/>
    <s v="14.9"/>
    <s v="0.81"/>
    <s v="86.0"/>
    <s v="82.0"/>
    <s v="76.0"/>
    <s v="76.0"/>
    <s v="61.0"/>
  </r>
  <r>
    <s v="S1037"/>
    <x v="0"/>
    <x v="0"/>
    <s v="2.4"/>
    <s v="0.9"/>
    <s v="62.0"/>
    <s v="29.0"/>
    <s v="43.0"/>
    <s v="48.0"/>
    <s v="44.0"/>
  </r>
  <r>
    <s v="S1038"/>
    <x v="1"/>
    <x v="1"/>
    <s v="10.1"/>
    <s v="0.9"/>
    <s v="54.0"/>
    <s v="57.0"/>
    <s v="47.0"/>
    <s v="71.0"/>
    <s v="59.0"/>
  </r>
  <r>
    <s v="S1039"/>
    <x v="0"/>
    <x v="0"/>
    <s v="3.2"/>
    <s v="0.84"/>
    <s v="65.0"/>
    <s v="54.0"/>
    <s v="27.0"/>
    <s v="38.0"/>
    <s v="37.0"/>
  </r>
  <r>
    <s v="S1040"/>
    <x v="0"/>
    <x v="2"/>
    <s v="6.6"/>
    <s v="0.84"/>
    <s v="61.0"/>
    <s v="46.0"/>
    <s v="33.0"/>
    <s v="43.0"/>
    <s v="49.0"/>
  </r>
  <r>
    <s v="S1041"/>
    <x v="0"/>
    <x v="2"/>
    <s v="11.3"/>
    <s v="0.9"/>
    <s v="59.0"/>
    <s v="59.0"/>
    <s v="63.0"/>
    <s v="69.0"/>
    <s v="53.0"/>
  </r>
  <r>
    <s v="S1042"/>
    <x v="0"/>
    <x v="2"/>
    <s v="8.2"/>
    <s v="0.76"/>
    <s v="69.0"/>
    <s v="49.0"/>
    <s v="44.0"/>
    <s v="68.0"/>
    <s v="42.0"/>
  </r>
  <r>
    <s v="S1043"/>
    <x v="1"/>
    <x v="2"/>
    <s v="4.8"/>
    <s v="0.77"/>
    <s v="71.0"/>
    <s v="36.0"/>
    <s v="59.0"/>
    <s v="43.0"/>
    <s v="40.0"/>
  </r>
  <r>
    <s v="S1044"/>
    <x v="0"/>
    <x v="1"/>
    <s v="5.9"/>
    <s v="0.82"/>
    <s v="56.0"/>
    <s v="47.0"/>
    <s v="25.0"/>
    <s v="39.0"/>
    <s v="37.0"/>
  </r>
  <r>
    <s v="S1045"/>
    <x v="1"/>
    <x v="0"/>
    <s v="10.0"/>
    <s v="0.86"/>
    <s v="55.0"/>
    <s v="45.0"/>
    <s v="66.0"/>
    <s v="50.0"/>
    <s v="50.0"/>
  </r>
  <r>
    <s v="S1046"/>
    <x v="0"/>
    <x v="1"/>
    <s v="5.8"/>
    <s v="0.9"/>
    <s v="59.0"/>
    <s v="42.0"/>
    <s v="44.0"/>
    <s v="33.0"/>
    <s v="39.0"/>
  </r>
  <r>
    <s v="S1047"/>
    <x v="1"/>
    <x v="1"/>
    <s v="8.6"/>
    <s v="1.0"/>
    <s v="34.0"/>
    <s v="36.0"/>
    <s v="39.0"/>
    <s v="31.0"/>
    <s v="40.0"/>
  </r>
  <r>
    <s v="S1048"/>
    <x v="1"/>
    <x v="1"/>
    <s v="8.1"/>
    <s v="0.95"/>
    <s v="44.0"/>
    <s v="46.0"/>
    <s v="38.0"/>
    <s v="34.0"/>
    <s v="34.0"/>
  </r>
  <r>
    <s v="S1049"/>
    <x v="0"/>
    <x v="2"/>
    <s v="6.0"/>
    <s v="0.87"/>
    <s v="78.0"/>
    <s v="52.0"/>
    <s v="55.0"/>
    <s v="48.0"/>
    <s v="55.0"/>
  </r>
  <r>
    <s v="S1050"/>
    <x v="1"/>
    <x v="2"/>
    <s v="14.4"/>
    <s v="0.88"/>
    <s v="82.0"/>
    <s v="84.0"/>
    <s v="77.0"/>
    <s v="77.0"/>
    <s v="69.0"/>
  </r>
  <r>
    <s v="S1051"/>
    <x v="1"/>
    <x v="1"/>
    <s v="9.9"/>
    <s v="0.8"/>
    <s v="59.0"/>
    <s v="49.0"/>
    <s v="63.0"/>
    <s v="56.0"/>
    <s v="58.0"/>
  </r>
  <r>
    <s v="S1052"/>
    <x v="1"/>
    <x v="2"/>
    <s v="1.9"/>
    <s v="0.88"/>
    <s v="69.0"/>
    <s v="31.0"/>
    <s v="50.0"/>
    <s v="52.0"/>
    <s v="43.0"/>
  </r>
  <r>
    <s v="S1053"/>
    <x v="1"/>
    <x v="1"/>
    <s v="8.6"/>
    <s v="0.86"/>
    <s v="66.0"/>
    <s v="44.0"/>
    <s v="55.0"/>
    <s v="47.0"/>
    <s v="50.0"/>
  </r>
  <r>
    <s v="S1054"/>
    <x v="1"/>
    <x v="2"/>
    <s v="6.0"/>
    <s v="0.91"/>
    <s v="98.0"/>
    <s v="54.0"/>
    <s v="58.0"/>
    <s v="72.0"/>
    <s v="60.0"/>
  </r>
  <r>
    <s v="S1055"/>
    <x v="1"/>
    <x v="1"/>
    <s v="10.6"/>
    <s v="0.81"/>
    <s v="75.0"/>
    <s v="65.0"/>
    <s v="63.0"/>
    <s v="62.0"/>
    <s v="60.0"/>
  </r>
  <r>
    <s v="S1056"/>
    <x v="0"/>
    <x v="0"/>
    <s v="5.6"/>
    <s v="0.92"/>
    <s v="60.0"/>
    <s v="47.0"/>
    <s v="45.0"/>
    <s v="44.0"/>
    <s v="46.0"/>
  </r>
  <r>
    <s v="S1057"/>
    <x v="0"/>
    <x v="2"/>
    <s v="7.7"/>
    <s v="1.0"/>
    <s v="51.0"/>
    <s v="36.0"/>
    <s v="31.0"/>
    <s v="50.0"/>
    <s v="48.0"/>
  </r>
  <r>
    <s v="S1058"/>
    <x v="0"/>
    <x v="0"/>
    <s v="9.5"/>
    <s v="0.87"/>
    <s v="43.0"/>
    <s v="53.0"/>
    <s v="35.0"/>
    <s v="36.0"/>
    <s v="40.0"/>
  </r>
  <r>
    <s v="S1059"/>
    <x v="0"/>
    <x v="1"/>
    <s v="10.6"/>
    <s v="0.91"/>
    <s v="64.0"/>
    <s v="68.0"/>
    <s v="64.0"/>
    <s v="62.0"/>
    <s v="63.0"/>
  </r>
  <r>
    <s v="S1060"/>
    <x v="0"/>
    <x v="1"/>
    <s v="4.4"/>
    <s v="0.94"/>
    <s v="53.0"/>
    <s v="38.0"/>
    <s v="38.0"/>
    <s v="39.0"/>
    <s v="40.0"/>
  </r>
  <r>
    <s v="S1061"/>
    <x v="0"/>
    <x v="1"/>
    <s v="7.0"/>
    <s v="0.85"/>
    <s v="45.0"/>
    <s v="54.0"/>
    <s v="38.0"/>
    <s v="44.0"/>
    <s v="51.0"/>
  </r>
  <r>
    <s v="S1062"/>
    <x v="1"/>
    <x v="0"/>
    <s v="6.6"/>
    <s v="0.9"/>
    <s v="54.0"/>
    <s v="35.0"/>
    <s v="43.0"/>
    <s v="46.0"/>
    <s v="37.0"/>
  </r>
  <r>
    <s v="S1063"/>
    <x v="0"/>
    <x v="0"/>
    <s v="6.0"/>
    <s v="0.89"/>
    <s v="49.0"/>
    <s v="28.0"/>
    <s v="42.0"/>
    <s v="59.0"/>
    <s v="52.0"/>
  </r>
  <r>
    <s v="S1064"/>
    <x v="0"/>
    <x v="1"/>
    <s v="8.2"/>
    <s v="0.89"/>
    <s v="82.0"/>
    <s v="58.0"/>
    <s v="70.0"/>
    <s v="69.0"/>
    <s v="60.0"/>
  </r>
  <r>
    <s v="S1065"/>
    <x v="1"/>
    <x v="2"/>
    <s v="9.2"/>
    <s v="0.82"/>
    <s v="73.0"/>
    <s v="69.0"/>
    <s v="52.0"/>
    <s v="55.0"/>
    <s v="45.0"/>
  </r>
  <r>
    <s v="S1066"/>
    <x v="0"/>
    <x v="0"/>
    <s v="4.2"/>
    <s v="0.88"/>
    <s v="62.0"/>
    <s v="43.0"/>
    <s v="41.0"/>
    <s v="37.0"/>
    <s v="39.0"/>
  </r>
  <r>
    <s v="S1067"/>
    <x v="1"/>
    <x v="2"/>
    <s v="8.2"/>
    <s v="0.89"/>
    <s v="80.0"/>
    <s v="64.0"/>
    <s v="58.0"/>
    <s v="63.0"/>
    <s v="53.0"/>
  </r>
  <r>
    <s v="S1068"/>
    <x v="0"/>
    <x v="2"/>
    <s v="8.2"/>
    <s v="1.0"/>
    <s v="63.0"/>
    <s v="71.0"/>
    <s v="72.0"/>
    <s v="62.0"/>
    <s v="66.0"/>
  </r>
  <r>
    <s v="S1069"/>
    <x v="1"/>
    <x v="1"/>
    <s v="11.1"/>
    <s v="0.96"/>
    <s v="52.0"/>
    <s v="45.0"/>
    <s v="41.0"/>
    <s v="63.0"/>
    <s v="46.0"/>
  </r>
  <r>
    <s v="S1070"/>
    <x v="1"/>
    <x v="1"/>
    <s v="3.4"/>
    <s v="1.0"/>
    <s v="80.0"/>
    <s v="62.0"/>
    <s v="54.0"/>
    <s v="60.0"/>
    <s v="54.0"/>
  </r>
  <r>
    <s v="S1071"/>
    <x v="0"/>
    <x v="0"/>
    <s v="6.5"/>
    <s v="0.82"/>
    <s v="68.0"/>
    <s v="48.0"/>
    <s v="53.0"/>
    <s v="46.0"/>
    <s v="35.0"/>
  </r>
  <r>
    <s v="S1072"/>
    <x v="0"/>
    <x v="0"/>
    <s v="11.8"/>
    <s v="0.95"/>
    <s v="50.0"/>
    <s v="56.0"/>
    <s v="58.0"/>
    <s v="48.0"/>
    <s v="47.0"/>
  </r>
  <r>
    <s v="S1073"/>
    <x v="1"/>
    <x v="2"/>
    <s v="5.9"/>
    <s v="0.89"/>
    <s v="60.0"/>
    <s v="48.0"/>
    <s v="51.0"/>
    <s v="49.0"/>
    <s v="35.0"/>
  </r>
  <r>
    <s v="S1074"/>
    <x v="1"/>
    <x v="1"/>
    <s v="9.3"/>
    <s v="0.89"/>
    <s v="51.0"/>
    <s v="52.0"/>
    <s v="62.0"/>
    <s v="44.0"/>
    <s v="43.0"/>
  </r>
  <r>
    <s v="S1075"/>
    <x v="1"/>
    <x v="1"/>
    <s v="10.3"/>
    <s v="0.82"/>
    <s v="45.0"/>
    <s v="51.0"/>
    <s v="57.0"/>
    <s v="53.0"/>
    <s v="54.0"/>
  </r>
  <r>
    <s v="S1076"/>
    <x v="1"/>
    <x v="0"/>
    <s v="5.2"/>
    <s v="0.81"/>
    <s v="73.0"/>
    <s v="38.0"/>
    <s v="33.0"/>
    <s v="51.0"/>
    <s v="43.0"/>
  </r>
  <r>
    <s v="S1077"/>
    <x v="0"/>
    <x v="0"/>
    <s v="7.8"/>
    <s v="0.83"/>
    <s v="85.0"/>
    <s v="61.0"/>
    <s v="50.0"/>
    <s v="50.0"/>
    <s v="50.0"/>
  </r>
  <r>
    <s v="S1078"/>
    <x v="0"/>
    <x v="0"/>
    <s v="0.0"/>
    <s v="0.89"/>
    <s v="45.0"/>
    <s v="33.0"/>
    <s v="15.0"/>
    <s v="35.0"/>
    <s v="23.0"/>
  </r>
  <r>
    <s v="S1079"/>
    <x v="0"/>
    <x v="0"/>
    <s v="8.2"/>
    <s v="0.84"/>
    <s v="69.0"/>
    <s v="53.0"/>
    <s v="45.0"/>
    <s v="61.0"/>
    <s v="48.0"/>
  </r>
  <r>
    <s v="S1080"/>
    <x v="1"/>
    <x v="2"/>
    <s v="7.2"/>
    <s v="0.82"/>
    <s v="54.0"/>
    <s v="56.0"/>
    <s v="49.0"/>
    <s v="40.0"/>
    <s v="45.0"/>
  </r>
  <r>
    <s v="S1081"/>
    <x v="1"/>
    <x v="1"/>
    <s v="4.3"/>
    <s v="0.89"/>
    <s v="56.0"/>
    <s v="31.0"/>
    <s v="31.0"/>
    <s v="36.0"/>
    <s v="30.0"/>
  </r>
  <r>
    <s v="S1082"/>
    <x v="0"/>
    <x v="1"/>
    <s v="12.9"/>
    <s v="0.91"/>
    <s v="55.0"/>
    <s v="53.0"/>
    <s v="62.0"/>
    <s v="62.0"/>
    <s v="63.0"/>
  </r>
  <r>
    <s v="S1083"/>
    <x v="0"/>
    <x v="0"/>
    <s v="3.7"/>
    <s v="1.0"/>
    <s v="52.0"/>
    <s v="31.0"/>
    <s v="28.0"/>
    <s v="38.0"/>
    <s v="39.0"/>
  </r>
  <r>
    <s v="S1084"/>
    <x v="0"/>
    <x v="2"/>
    <s v="6.7"/>
    <s v="0.96"/>
    <s v="63.0"/>
    <s v="46.0"/>
    <s v="42.0"/>
    <s v="54.0"/>
    <s v="45.0"/>
  </r>
  <r>
    <s v="S1085"/>
    <x v="0"/>
    <x v="1"/>
    <s v="8.4"/>
    <s v="0.83"/>
    <s v="52.0"/>
    <s v="55.0"/>
    <s v="50.0"/>
    <s v="63.0"/>
    <s v="49.0"/>
  </r>
  <r>
    <s v="S1086"/>
    <x v="1"/>
    <x v="1"/>
    <s v="12.3"/>
    <s v="0.81"/>
    <s v="65.0"/>
    <s v="49.0"/>
    <s v="56.0"/>
    <s v="62.0"/>
    <s v="54.0"/>
  </r>
  <r>
    <s v="S1087"/>
    <x v="1"/>
    <x v="2"/>
    <s v="3.7"/>
    <s v="0.92"/>
    <s v="61.0"/>
    <s v="48.0"/>
    <s v="27.0"/>
    <s v="33.0"/>
    <s v="26.0"/>
  </r>
  <r>
    <s v="S1088"/>
    <x v="1"/>
    <x v="1"/>
    <s v="11.5"/>
    <s v="0.77"/>
    <s v="59.0"/>
    <s v="57.0"/>
    <s v="51.0"/>
    <s v="47.0"/>
    <s v="47.0"/>
  </r>
  <r>
    <s v="S1089"/>
    <x v="0"/>
    <x v="1"/>
    <s v="8.0"/>
    <s v="1.0"/>
    <s v="51.0"/>
    <s v="41.0"/>
    <s v="54.0"/>
    <s v="40.0"/>
    <s v="42.0"/>
  </r>
  <r>
    <s v="S1090"/>
    <x v="0"/>
    <x v="2"/>
    <s v="5.1"/>
    <s v="0.97"/>
    <s v="55.0"/>
    <s v="29.0"/>
    <s v="31.0"/>
    <s v="40.0"/>
    <s v="31.0"/>
  </r>
  <r>
    <s v="S1091"/>
    <x v="1"/>
    <x v="0"/>
    <s v="9.4"/>
    <s v="0.84"/>
    <s v="71.0"/>
    <s v="43.0"/>
    <s v="79.0"/>
    <s v="73.0"/>
    <s v="57.0"/>
  </r>
  <r>
    <s v="S1092"/>
    <x v="1"/>
    <x v="2"/>
    <s v="8.6"/>
    <s v="0.74"/>
    <s v="68.0"/>
    <s v="60.0"/>
    <s v="59.0"/>
    <s v="51.0"/>
    <s v="59.0"/>
  </r>
  <r>
    <s v="S1093"/>
    <x v="1"/>
    <x v="1"/>
    <s v="6.2"/>
    <s v="0.99"/>
    <s v="50.0"/>
    <s v="39.0"/>
    <s v="41.0"/>
    <s v="42.0"/>
    <s v="46.0"/>
  </r>
  <r>
    <s v="S1094"/>
    <x v="1"/>
    <x v="0"/>
    <s v="8.2"/>
    <s v="0.87"/>
    <s v="63.0"/>
    <s v="39.0"/>
    <s v="44.0"/>
    <s v="52.0"/>
    <s v="40.0"/>
  </r>
  <r>
    <s v="S1095"/>
    <x v="0"/>
    <x v="1"/>
    <s v="6.8"/>
    <s v="0.98"/>
    <s v="71.0"/>
    <s v="38.0"/>
    <s v="57.0"/>
    <s v="62.0"/>
    <s v="55.0"/>
  </r>
  <r>
    <s v="S1096"/>
    <x v="1"/>
    <x v="1"/>
    <s v="8.3"/>
    <s v="0.75"/>
    <s v="42.0"/>
    <s v="39.0"/>
    <s v="50.0"/>
    <s v="62.0"/>
    <s v="52.0"/>
  </r>
  <r>
    <s v="S1097"/>
    <x v="0"/>
    <x v="0"/>
    <s v="10.0"/>
    <s v="0.83"/>
    <s v="69.0"/>
    <s v="71.0"/>
    <s v="60.0"/>
    <s v="55.0"/>
    <s v="59.0"/>
  </r>
  <r>
    <s v="S1098"/>
    <x v="0"/>
    <x v="2"/>
    <s v="12.8"/>
    <s v="0.88"/>
    <s v="54.0"/>
    <s v="58.0"/>
    <s v="81.0"/>
    <s v="55.0"/>
    <s v="58.0"/>
  </r>
  <r>
    <s v="S1099"/>
    <x v="0"/>
    <x v="0"/>
    <s v="8.2"/>
    <s v="0.88"/>
    <s v="69.0"/>
    <s v="28.0"/>
    <s v="42.0"/>
    <s v="54.0"/>
    <s v="38.0"/>
  </r>
  <r>
    <s v="S1100"/>
    <x v="0"/>
    <x v="2"/>
    <s v="14.4"/>
    <s v="0.84"/>
    <s v="53.0"/>
    <s v="62.0"/>
    <s v="73.0"/>
    <s v="68.0"/>
    <s v="64.0"/>
  </r>
  <r>
    <s v="S1101"/>
    <x v="1"/>
    <x v="2"/>
    <s v="2.1"/>
    <s v="0.93"/>
    <s v="40.0"/>
    <s v="20.0"/>
    <s v="18.0"/>
    <s v="40.0"/>
    <s v="33.0"/>
  </r>
  <r>
    <s v="S1102"/>
    <x v="0"/>
    <x v="1"/>
    <s v="7.5"/>
    <s v="0.79"/>
    <s v="42.0"/>
    <s v="18.0"/>
    <s v="40.0"/>
    <s v="44.0"/>
    <s v="41.0"/>
  </r>
  <r>
    <s v="S1103"/>
    <x v="0"/>
    <x v="2"/>
    <s v="9.8"/>
    <s v="0.87"/>
    <s v="63.0"/>
    <s v="54.0"/>
    <s v="70.0"/>
    <s v="53.0"/>
    <s v="57.0"/>
  </r>
  <r>
    <s v="S1104"/>
    <x v="1"/>
    <x v="1"/>
    <s v="8.8"/>
    <s v="0.89"/>
    <s v="65.0"/>
    <s v="51.0"/>
    <s v="49.0"/>
    <s v="59.0"/>
    <s v="56.0"/>
  </r>
  <r>
    <s v="S1105"/>
    <x v="0"/>
    <x v="1"/>
    <s v="6.1"/>
    <s v="0.92"/>
    <s v="51.0"/>
    <s v="44.0"/>
    <s v="55.0"/>
    <s v="50.0"/>
    <s v="46.0"/>
  </r>
  <r>
    <s v="S1106"/>
    <x v="0"/>
    <x v="0"/>
    <s v="7.4"/>
    <s v="0.94"/>
    <s v="70.0"/>
    <s v="65.0"/>
    <s v="58.0"/>
    <s v="60.0"/>
    <s v="61.0"/>
  </r>
  <r>
    <s v="S1107"/>
    <x v="1"/>
    <x v="2"/>
    <s v="6.5"/>
    <s v="0.79"/>
    <s v="42.0"/>
    <s v="45.0"/>
    <s v="33.0"/>
    <s v="41.0"/>
    <s v="39.0"/>
  </r>
  <r>
    <s v="S1108"/>
    <x v="0"/>
    <x v="0"/>
    <s v="6.2"/>
    <s v="0.76"/>
    <s v="61.0"/>
    <s v="41.0"/>
    <s v="50.0"/>
    <s v="55.0"/>
    <s v="55.0"/>
  </r>
  <r>
    <s v="S1109"/>
    <x v="0"/>
    <x v="2"/>
    <s v="10.5"/>
    <s v="0.98"/>
    <s v="47.0"/>
    <s v="41.0"/>
    <s v="58.0"/>
    <s v="59.0"/>
    <s v="48.0"/>
  </r>
  <r>
    <s v="S1110"/>
    <x v="0"/>
    <x v="0"/>
    <s v="9.1"/>
    <s v="0.91"/>
    <s v="54.0"/>
    <s v="69.0"/>
    <s v="55.0"/>
    <s v="61.0"/>
    <s v="64.0"/>
  </r>
  <r>
    <s v="S1111"/>
    <x v="0"/>
    <x v="2"/>
    <s v="5.9"/>
    <s v="0.82"/>
    <s v="63.0"/>
    <s v="43.0"/>
    <s v="32.0"/>
    <s v="51.0"/>
    <s v="42.0"/>
  </r>
  <r>
    <s v="S1112"/>
    <x v="1"/>
    <x v="2"/>
    <s v="10.7"/>
    <s v="1.0"/>
    <s v="52.0"/>
    <s v="53.0"/>
    <s v="48.0"/>
    <s v="51.0"/>
    <s v="46.0"/>
  </r>
  <r>
    <s v="S1113"/>
    <x v="1"/>
    <x v="2"/>
    <s v="8.9"/>
    <s v="0.89"/>
    <s v="57.0"/>
    <s v="49.0"/>
    <s v="49.0"/>
    <s v="52.0"/>
    <s v="45.0"/>
  </r>
  <r>
    <s v="S1114"/>
    <x v="1"/>
    <x v="1"/>
    <s v="10.4"/>
    <s v="0.97"/>
    <s v="74.0"/>
    <s v="62.0"/>
    <s v="62.0"/>
    <s v="73.0"/>
    <s v="60.0"/>
  </r>
  <r>
    <s v="S1115"/>
    <x v="1"/>
    <x v="0"/>
    <s v="9.9"/>
    <s v="0.89"/>
    <s v="55.0"/>
    <s v="51.0"/>
    <s v="57.0"/>
    <s v="46.0"/>
    <s v="49.0"/>
  </r>
  <r>
    <s v="S1116"/>
    <x v="1"/>
    <x v="1"/>
    <s v="5.5"/>
    <s v="1.0"/>
    <s v="72.0"/>
    <s v="41.0"/>
    <s v="49.0"/>
    <s v="53.0"/>
    <s v="51.0"/>
  </r>
  <r>
    <s v="S1117"/>
    <x v="0"/>
    <x v="1"/>
    <s v="6.3"/>
    <s v="1.0"/>
    <s v="48.0"/>
    <s v="34.0"/>
    <s v="29.0"/>
    <s v="37.0"/>
    <s v="34.0"/>
  </r>
  <r>
    <s v="S1118"/>
    <x v="1"/>
    <x v="2"/>
    <s v="10.2"/>
    <s v="0.86"/>
    <s v="68.0"/>
    <s v="58.0"/>
    <s v="62.0"/>
    <s v="60.0"/>
    <s v="55.0"/>
  </r>
  <r>
    <s v="S1119"/>
    <x v="1"/>
    <x v="1"/>
    <s v="9.8"/>
    <s v="0.96"/>
    <s v="79.0"/>
    <s v="57.0"/>
    <s v="68.0"/>
    <s v="74.0"/>
    <s v="73.0"/>
  </r>
  <r>
    <m/>
    <x v="2"/>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822B1-91F2-45FD-A722-53B7DB196DB9}" name="PivotTable1" cacheId="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location ref="A3:D8" firstHeaderRow="1" firstDataRow="2" firstDataCol="1"/>
  <pivotFields count="11">
    <pivotField dataField="1" showAll="0"/>
    <pivotField axis="axisCol" showAll="0">
      <items count="4">
        <item x="0"/>
        <item x="1"/>
        <item x="2"/>
        <item t="default"/>
      </items>
    </pivotField>
    <pivotField axis="axisRow" showAll="0">
      <items count="5">
        <item x="0"/>
        <item x="1"/>
        <item x="2"/>
        <item h="1" x="3"/>
        <item t="default"/>
      </items>
    </pivotField>
    <pivotField showAll="0"/>
    <pivotField showAll="0"/>
    <pivotField showAll="0"/>
    <pivotField showAll="0"/>
    <pivotField showAll="0"/>
    <pivotField showAll="0"/>
    <pivotField showAll="0"/>
    <pivotField dragToRow="0" dragToCol="0" dragToPage="0" showAll="0" defaultSubtotal="0"/>
  </pivotFields>
  <rowFields count="1">
    <field x="2"/>
  </rowFields>
  <rowItems count="4">
    <i>
      <x/>
    </i>
    <i>
      <x v="1"/>
    </i>
    <i>
      <x v="2"/>
    </i>
    <i t="grand">
      <x/>
    </i>
  </rowItems>
  <colFields count="1">
    <field x="1"/>
  </colFields>
  <colItems count="3">
    <i>
      <x/>
    </i>
    <i>
      <x v="1"/>
    </i>
    <i t="grand">
      <x/>
    </i>
  </colItems>
  <dataFields count="1">
    <dataField name="Count of Student_ID" fld="0" subtotal="count" baseField="0" baseItem="0"/>
  </dataFields>
  <chartFormats count="3">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ABF63-9863-47A0-8148-315E58BDCC2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11">
    <pivotField dataField="1" showAll="0"/>
    <pivotField showAll="0">
      <items count="4">
        <item x="0"/>
        <item x="1"/>
        <item h="1" x="2"/>
        <item t="default"/>
      </items>
    </pivotField>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Count of Stu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8ED9E7-56E9-4DFA-9766-3631DE7FE44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1">
    <pivotField dataField="1"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1"/>
  </rowFields>
  <rowItems count="3">
    <i>
      <x/>
    </i>
    <i>
      <x v="1"/>
    </i>
    <i t="grand">
      <x/>
    </i>
  </rowItems>
  <colItems count="1">
    <i/>
  </colItems>
  <dataFields count="1">
    <dataField name="Count of Student_ID" fld="0" subtotal="count" baseField="0" baseItem="0"/>
  </dataFields>
  <chartFormats count="4">
    <chartFormat chart="0" format="46" series="1">
      <pivotArea type="data" outline="0" fieldPosition="0">
        <references count="1">
          <reference field="4294967294" count="1" selected="0">
            <x v="0"/>
          </reference>
        </references>
      </pivotArea>
    </chartFormat>
    <chartFormat chart="4" format="50" series="1">
      <pivotArea type="data" outline="0" fieldPosition="0">
        <references count="1">
          <reference field="4294967294" count="1" selected="0">
            <x v="0"/>
          </reference>
        </references>
      </pivotArea>
    </chartFormat>
    <chartFormat chart="4" format="51">
      <pivotArea type="data" outline="0" fieldPosition="0">
        <references count="2">
          <reference field="4294967294" count="1" selected="0">
            <x v="0"/>
          </reference>
          <reference field="1" count="1" selected="0">
            <x v="0"/>
          </reference>
        </references>
      </pivotArea>
    </chartFormat>
    <chartFormat chart="4" format="5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65989A-FE25-4477-A188-50DEBE22716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showAll="0"/>
    <pivotField showAll="0">
      <items count="4">
        <item x="0"/>
        <item x="1"/>
        <item h="1" x="2"/>
        <item t="default"/>
      </items>
    </pivotField>
    <pivotField axis="axisRow" showAll="0" sortType="descending">
      <items count="5">
        <item x="0"/>
        <item x="1"/>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ragToRow="0" dragToCol="0" dragToPage="0" showAll="0" defaultSubtotal="0"/>
  </pivotFields>
  <rowFields count="1">
    <field x="2"/>
  </rowFields>
  <rowItems count="4">
    <i>
      <x v="1"/>
    </i>
    <i>
      <x v="2"/>
    </i>
    <i>
      <x/>
    </i>
    <i t="grand">
      <x/>
    </i>
  </rowItems>
  <colItems count="1">
    <i/>
  </colItems>
  <dataFields count="1">
    <dataField name="Count of Final_Score"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4E48E5-9686-4DE7-9B9D-4E2636FE243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8" firstHeaderRow="0" firstDataRow="1" firstDataCol="1"/>
  <pivotFields count="11">
    <pivotField showAll="0"/>
    <pivotField showAll="0">
      <items count="4">
        <item x="0"/>
        <item x="1"/>
        <item h="1" x="2"/>
        <item t="default"/>
      </items>
    </pivotField>
    <pivotField axis="axisRow" showAll="0">
      <items count="5">
        <item x="0"/>
        <item x="1"/>
        <item x="2"/>
        <item h="1" x="3"/>
        <item t="default"/>
      </items>
    </pivotField>
    <pivotField showAll="0"/>
    <pivotField showAll="0"/>
    <pivotField showAll="0"/>
    <pivotField dataField="1" showAll="0"/>
    <pivotField dataField="1" showAll="0"/>
    <pivotField dataField="1" showAll="0"/>
    <pivotField showAll="0"/>
    <pivotField dragToRow="0" dragToCol="0" dragToPage="0" showAll="0" defaultSubtotal="0"/>
  </pivotFields>
  <rowFields count="1">
    <field x="2"/>
  </rowFields>
  <rowItems count="4">
    <i>
      <x/>
    </i>
    <i>
      <x v="1"/>
    </i>
    <i>
      <x v="2"/>
    </i>
    <i t="grand">
      <x/>
    </i>
  </rowItems>
  <colFields count="1">
    <field x="-2"/>
  </colFields>
  <colItems count="3">
    <i>
      <x/>
    </i>
    <i i="1">
      <x v="1"/>
    </i>
    <i i="2">
      <x v="2"/>
    </i>
  </colItems>
  <dataFields count="3">
    <dataField name="Count of Quiz1" fld="6" subtotal="count" baseField="0" baseItem="0"/>
    <dataField name="Count of Quiz2" fld="7" subtotal="count" baseField="0" baseItem="0"/>
    <dataField name="Count of Quiz3" fld="8" subtotal="count" baseField="0" baseItem="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D6B05C-727E-495C-B690-865F1440D6F0}" name="Per Gender" cacheId="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colHeaderCaption="Per Gender">
  <location ref="M19:P24" firstHeaderRow="1" firstDataRow="2" firstDataCol="1"/>
  <pivotFields count="11">
    <pivotField dataField="1" showAll="0"/>
    <pivotField axis="axisCol" showAll="0">
      <items count="4">
        <item x="0"/>
        <item x="1"/>
        <item x="2"/>
        <item t="default"/>
      </items>
    </pivotField>
    <pivotField axis="axisRow" showAll="0">
      <items count="5">
        <item x="0"/>
        <item x="1"/>
        <item x="2"/>
        <item h="1" x="3"/>
        <item t="default"/>
      </items>
    </pivotField>
    <pivotField showAll="0"/>
    <pivotField showAll="0"/>
    <pivotField showAll="0"/>
    <pivotField showAll="0"/>
    <pivotField showAll="0"/>
    <pivotField showAll="0"/>
    <pivotField showAll="0"/>
    <pivotField dragToRow="0" dragToCol="0" dragToPage="0" showAll="0" defaultSubtotal="0"/>
  </pivotFields>
  <rowFields count="1">
    <field x="2"/>
  </rowFields>
  <rowItems count="4">
    <i>
      <x/>
    </i>
    <i>
      <x v="1"/>
    </i>
    <i>
      <x v="2"/>
    </i>
    <i t="grand">
      <x/>
    </i>
  </rowItems>
  <colFields count="1">
    <field x="1"/>
  </colFields>
  <colItems count="3">
    <i>
      <x/>
    </i>
    <i>
      <x v="1"/>
    </i>
    <i t="grand">
      <x/>
    </i>
  </colItems>
  <dataFields count="1">
    <dataField name="Count of Subject" fld="0" subtotal="count" baseField="2" baseItem="0"/>
  </dataFields>
  <formats count="22">
    <format dxfId="34">
      <pivotArea type="origin" dataOnly="0" labelOnly="1" outline="0" fieldPosition="0"/>
    </format>
    <format dxfId="33">
      <pivotArea field="1" type="button" dataOnly="0" labelOnly="1" outline="0" axis="axisCol" fieldPosition="0"/>
    </format>
    <format dxfId="31">
      <pivotArea type="topRight" dataOnly="0" labelOnly="1" outline="0" fieldPosition="0"/>
    </format>
    <format dxfId="30">
      <pivotArea type="origin" dataOnly="0" labelOnly="1" outline="0" fieldPosition="0"/>
    </format>
    <format dxfId="29">
      <pivotArea field="1" type="button" dataOnly="0" labelOnly="1" outline="0" axis="axisCol" fieldPosition="0"/>
    </format>
    <format dxfId="28">
      <pivotArea type="topRight" dataOnly="0" labelOnly="1" outline="0" fieldPosition="0"/>
    </format>
    <format dxfId="27">
      <pivotArea type="origin" dataOnly="0" labelOnly="1" outline="0" fieldPosition="0"/>
    </format>
    <format dxfId="26">
      <pivotArea field="1" type="button" dataOnly="0" labelOnly="1" outline="0" axis="axisCol" fieldPosition="0"/>
    </format>
    <format dxfId="25">
      <pivotArea type="topRight" dataOnly="0" labelOnly="1" outline="0" fieldPosition="0"/>
    </format>
    <format dxfId="24">
      <pivotArea type="origin" dataOnly="0" labelOnly="1" outline="0" fieldPosition="0"/>
    </format>
    <format dxfId="23">
      <pivotArea field="1" type="button" dataOnly="0" labelOnly="1" outline="0" axis="axisCol" fieldPosition="0"/>
    </format>
    <format dxfId="22">
      <pivotArea type="topRight" dataOnly="0" labelOnly="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1" count="2">
            <x v="0"/>
            <x v="1"/>
          </reference>
        </references>
      </pivotArea>
    </format>
    <format dxfId="0">
      <pivotArea dataOnly="0" labelOnly="1" grandCol="1" outline="0" fieldPosition="0"/>
    </format>
  </formats>
  <chartFormats count="3">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BB8582-CD9B-41E2-A14E-60456979FC28}" autoFormatId="16" applyNumberFormats="0" applyBorderFormats="0" applyFontFormats="0" applyPatternFormats="0" applyAlignmentFormats="0" applyWidthHeightFormats="0">
  <queryTableRefresh nextId="11">
    <queryTableFields count="10">
      <queryTableField id="1" name="Student_ID" tableColumnId="1"/>
      <queryTableField id="2" name="Gender" tableColumnId="2"/>
      <queryTableField id="3" name="Subject" tableColumnId="3"/>
      <queryTableField id="4" name="Study_Hours_per_Week" tableColumnId="4"/>
      <queryTableField id="5" name="Attendance_Rate" tableColumnId="5"/>
      <queryTableField id="6" name="Previous_Score" tableColumnId="6"/>
      <queryTableField id="7" name="Quiz1" tableColumnId="7"/>
      <queryTableField id="8" name="Quiz2" tableColumnId="8"/>
      <queryTableField id="9" name="Quiz3" tableColumnId="9"/>
      <queryTableField id="10" name="Final_Scor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F1CF99A-845C-4433-8EF3-A39E708A3C1C}" sourceName="Gender">
  <pivotTables>
    <pivotTable tabId="1" name="PivotTable1"/>
    <pivotTable tabId="3" name="PivotTable2"/>
    <pivotTable tabId="5" name="PivotTable4"/>
    <pivotTable tabId="6" name="PivotTable5"/>
  </pivotTables>
  <data>
    <tabular pivotCacheId="1231238070">
      <items count="3">
        <i x="0" s="1"/>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48C308-80F2-4152-AFDF-607CB3718A9E}" sourceName="Gender">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ACAB311-DDD1-4E83-BCD9-EE3FDED97CE5}"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A6B9751-6F82-45CA-9268-2F8DE4F2C748}" cache="Slicer_Gender1" caption="Gender" columnCount="2" showCaption="0"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57994-B268-4760-B565-3DFF9774EE20}" name="Week5_Cleaned_Dataset" displayName="Week5_Cleaned_Dataset" ref="A1:J121" tableType="queryTable" totalsRowShown="0">
  <autoFilter ref="A1:J121" xr:uid="{30F57994-B268-4760-B565-3DFF9774EE20}"/>
  <tableColumns count="10">
    <tableColumn id="1" xr3:uid="{94D5D9F8-C6E5-446B-9D9E-5A90D39FB26B}" uniqueName="1" name="Student_ID" queryTableFieldId="1" dataDxfId="45"/>
    <tableColumn id="2" xr3:uid="{34E8A0F9-86F5-4604-838F-0260FA97458D}" uniqueName="2" name="Gender" queryTableFieldId="2" dataDxfId="44"/>
    <tableColumn id="3" xr3:uid="{79380A04-92BE-4F7A-B55E-7932B5DF98A8}" uniqueName="3" name="Subject" queryTableFieldId="3" dataDxfId="43"/>
    <tableColumn id="4" xr3:uid="{953B3FBD-0A8D-4CB2-A2AD-394C2DD1D943}" uniqueName="4" name="Study_Hours_per_Week" queryTableFieldId="4" dataDxfId="42"/>
    <tableColumn id="5" xr3:uid="{CFC3E4D9-F28A-4F0E-8966-377AB997327B}" uniqueName="5" name="Attendance_Rate" queryTableFieldId="5" dataDxfId="41"/>
    <tableColumn id="6" xr3:uid="{7766FA90-EE17-43FB-ADAF-11DF9C71FACD}" uniqueName="6" name="Previous_Score" queryTableFieldId="6" dataDxfId="40"/>
    <tableColumn id="7" xr3:uid="{2D9956A2-6023-47D0-A205-A267704C13F9}" uniqueName="7" name="Quiz1" queryTableFieldId="7" dataDxfId="39"/>
    <tableColumn id="8" xr3:uid="{03A52C2F-B182-497E-BCC0-4D22C7B1CC63}" uniqueName="8" name="Quiz2" queryTableFieldId="8" dataDxfId="38"/>
    <tableColumn id="9" xr3:uid="{136564C0-1957-4704-A3FF-1C9AD52C1ADA}" uniqueName="9" name="Quiz3" queryTableFieldId="9" dataDxfId="37"/>
    <tableColumn id="10" xr3:uid="{B391A364-8781-4DA1-B38F-75C781B8B1B8}" uniqueName="10" name="Final_Score" queryTableFieldId="10" dataDxfId="36"/>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8109F-FA85-4A02-A66F-625A1E1AC303}">
  <dimension ref="A3:D8"/>
  <sheetViews>
    <sheetView workbookViewId="0">
      <selection activeCell="A3" sqref="A3:D8"/>
    </sheetView>
  </sheetViews>
  <sheetFormatPr defaultRowHeight="15" x14ac:dyDescent="0.25"/>
  <cols>
    <col min="1" max="1" width="19.5703125" bestFit="1" customWidth="1"/>
    <col min="2" max="2" width="16.85546875" bestFit="1" customWidth="1"/>
    <col min="3" max="3" width="5.28515625" bestFit="1" customWidth="1"/>
    <col min="4" max="5" width="11.28515625" bestFit="1" customWidth="1"/>
  </cols>
  <sheetData>
    <row r="3" spans="1:4" x14ac:dyDescent="0.25">
      <c r="A3" s="2" t="s">
        <v>308</v>
      </c>
      <c r="B3" s="2" t="s">
        <v>315</v>
      </c>
    </row>
    <row r="4" spans="1:4" x14ac:dyDescent="0.25">
      <c r="A4" s="2" t="s">
        <v>306</v>
      </c>
      <c r="B4" t="s">
        <v>11</v>
      </c>
      <c r="C4" t="s">
        <v>21</v>
      </c>
      <c r="D4" t="s">
        <v>316</v>
      </c>
    </row>
    <row r="5" spans="1:4" x14ac:dyDescent="0.25">
      <c r="A5" s="3" t="s">
        <v>12</v>
      </c>
      <c r="B5" s="4">
        <v>21</v>
      </c>
      <c r="C5" s="4">
        <v>12</v>
      </c>
      <c r="D5" s="4">
        <v>33</v>
      </c>
    </row>
    <row r="6" spans="1:4" x14ac:dyDescent="0.25">
      <c r="A6" s="3" t="s">
        <v>29</v>
      </c>
      <c r="B6" s="4">
        <v>22</v>
      </c>
      <c r="C6" s="4">
        <v>27</v>
      </c>
      <c r="D6" s="4">
        <v>49</v>
      </c>
    </row>
    <row r="7" spans="1:4" x14ac:dyDescent="0.25">
      <c r="A7" s="3" t="s">
        <v>48</v>
      </c>
      <c r="B7" s="4">
        <v>21</v>
      </c>
      <c r="C7" s="4">
        <v>17</v>
      </c>
      <c r="D7" s="4">
        <v>38</v>
      </c>
    </row>
    <row r="8" spans="1:4" x14ac:dyDescent="0.25">
      <c r="A8" s="3" t="s">
        <v>316</v>
      </c>
      <c r="B8" s="4">
        <v>64</v>
      </c>
      <c r="C8" s="4">
        <v>56</v>
      </c>
      <c r="D8" s="4">
        <v>120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B253-A823-4EDD-9AC1-68930413B317}">
  <sheetPr>
    <tabColor theme="8" tint="-0.499984740745262"/>
  </sheetPr>
  <dimension ref="A1:J121"/>
  <sheetViews>
    <sheetView workbookViewId="0">
      <selection activeCell="L12" sqref="L12"/>
    </sheetView>
  </sheetViews>
  <sheetFormatPr defaultRowHeight="15" x14ac:dyDescent="0.25"/>
  <cols>
    <col min="1" max="1" width="13.28515625" bestFit="1" customWidth="1"/>
    <col min="2" max="2" width="10" bestFit="1" customWidth="1"/>
    <col min="3" max="3" width="10.140625" bestFit="1" customWidth="1"/>
    <col min="4" max="4" width="25" style="1" bestFit="1" customWidth="1"/>
    <col min="5" max="5" width="18.7109375" style="1" bestFit="1" customWidth="1"/>
    <col min="6" max="6" width="17.28515625" style="1" bestFit="1" customWidth="1"/>
    <col min="7" max="9" width="8.28515625" style="1" bestFit="1" customWidth="1"/>
    <col min="10" max="10" width="13.5703125" style="1" bestFit="1" customWidth="1"/>
  </cols>
  <sheetData>
    <row r="1" spans="1:10" x14ac:dyDescent="0.25">
      <c r="A1" t="s">
        <v>0</v>
      </c>
      <c r="B1" t="s">
        <v>1</v>
      </c>
      <c r="C1" t="s">
        <v>2</v>
      </c>
      <c r="D1" s="1" t="s">
        <v>3</v>
      </c>
      <c r="E1" s="1" t="s">
        <v>4</v>
      </c>
      <c r="F1" s="1" t="s">
        <v>5</v>
      </c>
      <c r="G1" s="1" t="s">
        <v>6</v>
      </c>
      <c r="H1" s="1" t="s">
        <v>7</v>
      </c>
      <c r="I1" s="1" t="s">
        <v>8</v>
      </c>
      <c r="J1" s="1" t="s">
        <v>9</v>
      </c>
    </row>
    <row r="2" spans="1:10" x14ac:dyDescent="0.25">
      <c r="A2" t="s">
        <v>10</v>
      </c>
      <c r="B2" t="s">
        <v>11</v>
      </c>
      <c r="C2" t="s">
        <v>12</v>
      </c>
      <c r="D2" s="1" t="s">
        <v>13</v>
      </c>
      <c r="E2" s="1" t="s">
        <v>14</v>
      </c>
      <c r="F2" s="1" t="s">
        <v>15</v>
      </c>
      <c r="G2" s="1" t="s">
        <v>16</v>
      </c>
      <c r="H2" s="1" t="s">
        <v>17</v>
      </c>
      <c r="I2" s="1" t="s">
        <v>18</v>
      </c>
      <c r="J2" s="1" t="s">
        <v>19</v>
      </c>
    </row>
    <row r="3" spans="1:10" x14ac:dyDescent="0.25">
      <c r="A3" t="s">
        <v>20</v>
      </c>
      <c r="B3" t="s">
        <v>21</v>
      </c>
      <c r="C3" t="s">
        <v>12</v>
      </c>
      <c r="D3" s="1" t="s">
        <v>22</v>
      </c>
      <c r="E3" s="1" t="s">
        <v>23</v>
      </c>
      <c r="F3" s="1" t="s">
        <v>24</v>
      </c>
      <c r="G3" s="1" t="s">
        <v>25</v>
      </c>
      <c r="H3" s="1" t="s">
        <v>26</v>
      </c>
      <c r="I3" s="1" t="s">
        <v>27</v>
      </c>
      <c r="J3" s="1" t="s">
        <v>18</v>
      </c>
    </row>
    <row r="4" spans="1:10" x14ac:dyDescent="0.25">
      <c r="A4" t="s">
        <v>28</v>
      </c>
      <c r="B4" t="s">
        <v>21</v>
      </c>
      <c r="C4" t="s">
        <v>29</v>
      </c>
      <c r="D4" s="1" t="s">
        <v>30</v>
      </c>
      <c r="E4" s="1" t="s">
        <v>31</v>
      </c>
      <c r="F4" s="1" t="s">
        <v>32</v>
      </c>
      <c r="G4" s="1" t="s">
        <v>33</v>
      </c>
      <c r="H4" s="1" t="s">
        <v>34</v>
      </c>
      <c r="I4" s="1" t="s">
        <v>25</v>
      </c>
      <c r="J4" s="1" t="s">
        <v>35</v>
      </c>
    </row>
    <row r="5" spans="1:10" x14ac:dyDescent="0.25">
      <c r="A5" t="s">
        <v>36</v>
      </c>
      <c r="B5" t="s">
        <v>21</v>
      </c>
      <c r="C5" t="s">
        <v>29</v>
      </c>
      <c r="D5" s="1" t="s">
        <v>37</v>
      </c>
      <c r="E5" s="1" t="s">
        <v>38</v>
      </c>
      <c r="F5" s="1" t="s">
        <v>15</v>
      </c>
      <c r="G5" s="1" t="s">
        <v>32</v>
      </c>
      <c r="H5" s="1" t="s">
        <v>39</v>
      </c>
      <c r="I5" s="1" t="s">
        <v>18</v>
      </c>
      <c r="J5" s="1" t="s">
        <v>18</v>
      </c>
    </row>
    <row r="6" spans="1:10" x14ac:dyDescent="0.25">
      <c r="A6" t="s">
        <v>40</v>
      </c>
      <c r="B6" t="s">
        <v>11</v>
      </c>
      <c r="C6" t="s">
        <v>29</v>
      </c>
      <c r="D6" s="1" t="s">
        <v>41</v>
      </c>
      <c r="E6" s="1" t="s">
        <v>42</v>
      </c>
      <c r="F6" s="1" t="s">
        <v>43</v>
      </c>
      <c r="G6" s="1" t="s">
        <v>44</v>
      </c>
      <c r="H6" s="1" t="s">
        <v>45</v>
      </c>
      <c r="I6" s="1" t="s">
        <v>46</v>
      </c>
      <c r="J6" s="1" t="s">
        <v>34</v>
      </c>
    </row>
    <row r="7" spans="1:10" x14ac:dyDescent="0.25">
      <c r="A7" t="s">
        <v>47</v>
      </c>
      <c r="B7" t="s">
        <v>11</v>
      </c>
      <c r="C7" t="s">
        <v>48</v>
      </c>
      <c r="D7" s="1" t="s">
        <v>49</v>
      </c>
      <c r="E7" s="1" t="s">
        <v>50</v>
      </c>
      <c r="F7" s="1" t="s">
        <v>51</v>
      </c>
      <c r="G7" s="1" t="s">
        <v>52</v>
      </c>
      <c r="H7" s="1" t="s">
        <v>32</v>
      </c>
      <c r="I7" s="1" t="s">
        <v>53</v>
      </c>
      <c r="J7" s="1" t="s">
        <v>54</v>
      </c>
    </row>
    <row r="8" spans="1:10" x14ac:dyDescent="0.25">
      <c r="A8" t="s">
        <v>55</v>
      </c>
      <c r="B8" t="s">
        <v>11</v>
      </c>
      <c r="C8" t="s">
        <v>12</v>
      </c>
      <c r="D8" s="1" t="s">
        <v>56</v>
      </c>
      <c r="E8" s="1" t="s">
        <v>50</v>
      </c>
      <c r="F8" s="1" t="s">
        <v>57</v>
      </c>
      <c r="G8" s="1" t="s">
        <v>58</v>
      </c>
      <c r="H8" s="1" t="s">
        <v>32</v>
      </c>
      <c r="I8" s="1" t="s">
        <v>35</v>
      </c>
      <c r="J8" s="1" t="s">
        <v>51</v>
      </c>
    </row>
    <row r="9" spans="1:10" x14ac:dyDescent="0.25">
      <c r="A9" t="s">
        <v>59</v>
      </c>
      <c r="B9" t="s">
        <v>21</v>
      </c>
      <c r="C9" t="s">
        <v>12</v>
      </c>
      <c r="D9" s="1" t="s">
        <v>60</v>
      </c>
      <c r="E9" s="1" t="s">
        <v>61</v>
      </c>
      <c r="F9" s="1" t="s">
        <v>62</v>
      </c>
      <c r="G9" s="1" t="s">
        <v>17</v>
      </c>
      <c r="H9" s="1" t="s">
        <v>16</v>
      </c>
      <c r="I9" s="1" t="s">
        <v>34</v>
      </c>
      <c r="J9" s="1" t="s">
        <v>63</v>
      </c>
    </row>
    <row r="10" spans="1:10" x14ac:dyDescent="0.25">
      <c r="A10" t="s">
        <v>64</v>
      </c>
      <c r="B10" t="s">
        <v>21</v>
      </c>
      <c r="C10" t="s">
        <v>29</v>
      </c>
      <c r="D10" s="1" t="s">
        <v>65</v>
      </c>
      <c r="E10" s="1" t="s">
        <v>66</v>
      </c>
      <c r="F10" s="1" t="s">
        <v>67</v>
      </c>
      <c r="G10" s="1" t="s">
        <v>67</v>
      </c>
      <c r="H10" s="1" t="s">
        <v>57</v>
      </c>
      <c r="I10" s="1" t="s">
        <v>33</v>
      </c>
      <c r="J10" s="1" t="s">
        <v>68</v>
      </c>
    </row>
    <row r="11" spans="1:10" x14ac:dyDescent="0.25">
      <c r="A11" t="s">
        <v>69</v>
      </c>
      <c r="B11" t="s">
        <v>21</v>
      </c>
      <c r="C11" t="s">
        <v>48</v>
      </c>
      <c r="D11" s="1" t="s">
        <v>70</v>
      </c>
      <c r="E11" s="1" t="s">
        <v>66</v>
      </c>
      <c r="F11" s="1" t="s">
        <v>71</v>
      </c>
      <c r="G11" s="1" t="s">
        <v>72</v>
      </c>
      <c r="H11" s="1" t="s">
        <v>51</v>
      </c>
      <c r="I11" s="1" t="s">
        <v>73</v>
      </c>
      <c r="J11" s="1" t="s">
        <v>57</v>
      </c>
    </row>
    <row r="12" spans="1:10" x14ac:dyDescent="0.25">
      <c r="A12" t="s">
        <v>74</v>
      </c>
      <c r="B12" t="s">
        <v>11</v>
      </c>
      <c r="C12" t="s">
        <v>48</v>
      </c>
      <c r="D12" s="1" t="s">
        <v>75</v>
      </c>
      <c r="E12" s="1" t="s">
        <v>31</v>
      </c>
      <c r="F12" s="1" t="s">
        <v>76</v>
      </c>
      <c r="G12" s="1" t="s">
        <v>77</v>
      </c>
      <c r="H12" s="1" t="s">
        <v>44</v>
      </c>
      <c r="I12" s="1" t="s">
        <v>33</v>
      </c>
      <c r="J12" s="1" t="s">
        <v>32</v>
      </c>
    </row>
    <row r="13" spans="1:10" x14ac:dyDescent="0.25">
      <c r="A13" t="s">
        <v>78</v>
      </c>
      <c r="B13" t="s">
        <v>21</v>
      </c>
      <c r="C13" t="s">
        <v>29</v>
      </c>
      <c r="D13" s="1" t="s">
        <v>79</v>
      </c>
      <c r="E13" s="1" t="s">
        <v>14</v>
      </c>
      <c r="F13" s="1" t="s">
        <v>80</v>
      </c>
      <c r="G13" s="1" t="s">
        <v>32</v>
      </c>
      <c r="H13" s="1" t="s">
        <v>57</v>
      </c>
      <c r="I13" s="1" t="s">
        <v>80</v>
      </c>
      <c r="J13" s="1" t="s">
        <v>33</v>
      </c>
    </row>
    <row r="14" spans="1:10" x14ac:dyDescent="0.25">
      <c r="A14" t="s">
        <v>81</v>
      </c>
      <c r="B14" t="s">
        <v>21</v>
      </c>
      <c r="C14" t="s">
        <v>29</v>
      </c>
      <c r="D14" s="1" t="s">
        <v>82</v>
      </c>
      <c r="E14" s="1" t="s">
        <v>83</v>
      </c>
      <c r="F14" s="1" t="s">
        <v>84</v>
      </c>
      <c r="G14" s="1" t="s">
        <v>19</v>
      </c>
      <c r="H14" s="1" t="s">
        <v>72</v>
      </c>
      <c r="I14" s="1" t="s">
        <v>85</v>
      </c>
      <c r="J14" s="1" t="s">
        <v>32</v>
      </c>
    </row>
    <row r="15" spans="1:10" x14ac:dyDescent="0.25">
      <c r="A15" t="s">
        <v>86</v>
      </c>
      <c r="B15" t="s">
        <v>11</v>
      </c>
      <c r="C15" t="s">
        <v>29</v>
      </c>
      <c r="D15" s="1" t="s">
        <v>75</v>
      </c>
      <c r="E15" s="1" t="s">
        <v>50</v>
      </c>
      <c r="F15" s="1" t="s">
        <v>19</v>
      </c>
      <c r="G15" s="1" t="s">
        <v>58</v>
      </c>
      <c r="H15" s="1" t="s">
        <v>32</v>
      </c>
      <c r="I15" s="1" t="s">
        <v>44</v>
      </c>
      <c r="J15" s="1" t="s">
        <v>44</v>
      </c>
    </row>
    <row r="16" spans="1:10" x14ac:dyDescent="0.25">
      <c r="A16" t="s">
        <v>87</v>
      </c>
      <c r="B16" t="s">
        <v>11</v>
      </c>
      <c r="C16" t="s">
        <v>12</v>
      </c>
      <c r="D16" s="1" t="s">
        <v>88</v>
      </c>
      <c r="E16" s="1" t="s">
        <v>89</v>
      </c>
      <c r="F16" s="1" t="s">
        <v>63</v>
      </c>
      <c r="G16" s="1" t="s">
        <v>19</v>
      </c>
      <c r="H16" s="1" t="s">
        <v>44</v>
      </c>
      <c r="I16" s="1" t="s">
        <v>63</v>
      </c>
      <c r="J16" s="1" t="s">
        <v>51</v>
      </c>
    </row>
    <row r="17" spans="1:10" x14ac:dyDescent="0.25">
      <c r="A17" t="s">
        <v>90</v>
      </c>
      <c r="B17" t="s">
        <v>11</v>
      </c>
      <c r="C17" t="s">
        <v>29</v>
      </c>
      <c r="D17" s="1" t="s">
        <v>91</v>
      </c>
      <c r="E17" s="1" t="s">
        <v>92</v>
      </c>
      <c r="F17" s="1" t="s">
        <v>93</v>
      </c>
      <c r="G17" s="1" t="s">
        <v>94</v>
      </c>
      <c r="H17" s="1" t="s">
        <v>46</v>
      </c>
      <c r="I17" s="1" t="s">
        <v>63</v>
      </c>
      <c r="J17" s="1" t="s">
        <v>35</v>
      </c>
    </row>
    <row r="18" spans="1:10" x14ac:dyDescent="0.25">
      <c r="A18" t="s">
        <v>95</v>
      </c>
      <c r="B18" t="s">
        <v>11</v>
      </c>
      <c r="C18" t="s">
        <v>48</v>
      </c>
      <c r="D18" s="1" t="s">
        <v>96</v>
      </c>
      <c r="E18" s="1" t="s">
        <v>23</v>
      </c>
      <c r="F18" s="1" t="s">
        <v>97</v>
      </c>
      <c r="G18" s="1" t="s">
        <v>98</v>
      </c>
      <c r="H18" s="1" t="s">
        <v>93</v>
      </c>
      <c r="I18" s="1" t="s">
        <v>26</v>
      </c>
      <c r="J18" s="1" t="s">
        <v>93</v>
      </c>
    </row>
    <row r="19" spans="1:10" x14ac:dyDescent="0.25">
      <c r="A19" t="s">
        <v>99</v>
      </c>
      <c r="B19" t="s">
        <v>21</v>
      </c>
      <c r="C19" t="s">
        <v>12</v>
      </c>
      <c r="D19" s="1" t="s">
        <v>100</v>
      </c>
      <c r="E19" s="1" t="s">
        <v>83</v>
      </c>
      <c r="F19" s="1" t="s">
        <v>101</v>
      </c>
      <c r="G19" s="1" t="s">
        <v>71</v>
      </c>
      <c r="H19" s="1" t="s">
        <v>17</v>
      </c>
      <c r="I19" s="1" t="s">
        <v>46</v>
      </c>
      <c r="J19" s="1" t="s">
        <v>19</v>
      </c>
    </row>
    <row r="20" spans="1:10" x14ac:dyDescent="0.25">
      <c r="A20" t="s">
        <v>102</v>
      </c>
      <c r="B20" t="s">
        <v>11</v>
      </c>
      <c r="C20" t="s">
        <v>48</v>
      </c>
      <c r="D20" s="1" t="s">
        <v>103</v>
      </c>
      <c r="E20" s="1" t="s">
        <v>104</v>
      </c>
      <c r="F20" s="1" t="s">
        <v>105</v>
      </c>
      <c r="G20" s="1" t="s">
        <v>25</v>
      </c>
      <c r="H20" s="1" t="s">
        <v>35</v>
      </c>
      <c r="I20" s="1" t="s">
        <v>34</v>
      </c>
      <c r="J20" s="1" t="s">
        <v>17</v>
      </c>
    </row>
    <row r="21" spans="1:10" x14ac:dyDescent="0.25">
      <c r="A21" t="s">
        <v>106</v>
      </c>
      <c r="B21" t="s">
        <v>11</v>
      </c>
      <c r="C21" t="s">
        <v>12</v>
      </c>
      <c r="D21" s="1" t="s">
        <v>103</v>
      </c>
      <c r="E21" s="1" t="s">
        <v>107</v>
      </c>
      <c r="F21" s="1" t="s">
        <v>93</v>
      </c>
      <c r="G21" s="1" t="s">
        <v>25</v>
      </c>
      <c r="H21" s="1" t="s">
        <v>80</v>
      </c>
      <c r="I21" s="1" t="s">
        <v>25</v>
      </c>
      <c r="J21" s="1" t="s">
        <v>32</v>
      </c>
    </row>
    <row r="22" spans="1:10" x14ac:dyDescent="0.25">
      <c r="A22" t="s">
        <v>108</v>
      </c>
      <c r="B22" t="s">
        <v>21</v>
      </c>
      <c r="C22" t="s">
        <v>12</v>
      </c>
      <c r="D22" s="1" t="s">
        <v>109</v>
      </c>
      <c r="E22" s="1" t="s">
        <v>110</v>
      </c>
      <c r="F22" s="1" t="s">
        <v>17</v>
      </c>
      <c r="G22" s="1" t="s">
        <v>58</v>
      </c>
      <c r="H22" s="1" t="s">
        <v>52</v>
      </c>
      <c r="I22" s="1" t="s">
        <v>111</v>
      </c>
      <c r="J22" s="1" t="s">
        <v>73</v>
      </c>
    </row>
    <row r="23" spans="1:10" x14ac:dyDescent="0.25">
      <c r="A23" t="s">
        <v>112</v>
      </c>
      <c r="B23" t="s">
        <v>11</v>
      </c>
      <c r="C23" t="s">
        <v>29</v>
      </c>
      <c r="D23" s="1" t="s">
        <v>113</v>
      </c>
      <c r="E23" s="1" t="s">
        <v>114</v>
      </c>
      <c r="F23" s="1" t="s">
        <v>15</v>
      </c>
      <c r="G23" s="1" t="s">
        <v>58</v>
      </c>
      <c r="H23" s="1" t="s">
        <v>68</v>
      </c>
      <c r="I23" s="1" t="s">
        <v>17</v>
      </c>
      <c r="J23" s="1" t="s">
        <v>105</v>
      </c>
    </row>
    <row r="24" spans="1:10" x14ac:dyDescent="0.25">
      <c r="A24" t="s">
        <v>115</v>
      </c>
      <c r="B24" t="s">
        <v>11</v>
      </c>
      <c r="C24" t="s">
        <v>48</v>
      </c>
      <c r="D24" s="1" t="s">
        <v>116</v>
      </c>
      <c r="E24" s="1" t="s">
        <v>61</v>
      </c>
      <c r="F24" s="1" t="s">
        <v>117</v>
      </c>
      <c r="G24" s="1" t="s">
        <v>54</v>
      </c>
      <c r="H24" s="1" t="s">
        <v>85</v>
      </c>
      <c r="I24" s="1" t="s">
        <v>67</v>
      </c>
      <c r="J24" s="1" t="s">
        <v>34</v>
      </c>
    </row>
    <row r="25" spans="1:10" x14ac:dyDescent="0.25">
      <c r="A25" t="s">
        <v>118</v>
      </c>
      <c r="B25" t="s">
        <v>11</v>
      </c>
      <c r="C25" t="s">
        <v>29</v>
      </c>
      <c r="D25" s="1" t="s">
        <v>116</v>
      </c>
      <c r="E25" s="1" t="s">
        <v>23</v>
      </c>
      <c r="F25" s="1" t="s">
        <v>46</v>
      </c>
      <c r="G25" s="1" t="s">
        <v>51</v>
      </c>
      <c r="H25" s="1" t="s">
        <v>34</v>
      </c>
      <c r="I25" s="1" t="s">
        <v>19</v>
      </c>
      <c r="J25" s="1" t="s">
        <v>34</v>
      </c>
    </row>
    <row r="26" spans="1:10" x14ac:dyDescent="0.25">
      <c r="A26" t="s">
        <v>119</v>
      </c>
      <c r="B26" t="s">
        <v>11</v>
      </c>
      <c r="C26" t="s">
        <v>29</v>
      </c>
      <c r="D26" s="1" t="s">
        <v>116</v>
      </c>
      <c r="E26" s="1" t="s">
        <v>83</v>
      </c>
      <c r="F26" s="1" t="s">
        <v>98</v>
      </c>
      <c r="G26" s="1" t="s">
        <v>73</v>
      </c>
      <c r="H26" s="1" t="s">
        <v>120</v>
      </c>
      <c r="I26" s="1" t="s">
        <v>101</v>
      </c>
      <c r="J26" s="1" t="s">
        <v>67</v>
      </c>
    </row>
    <row r="27" spans="1:10" x14ac:dyDescent="0.25">
      <c r="A27" t="s">
        <v>121</v>
      </c>
      <c r="B27" t="s">
        <v>21</v>
      </c>
      <c r="C27" t="s">
        <v>29</v>
      </c>
      <c r="D27" s="1" t="s">
        <v>122</v>
      </c>
      <c r="E27" s="1" t="s">
        <v>83</v>
      </c>
      <c r="F27" s="1" t="s">
        <v>44</v>
      </c>
      <c r="G27" s="1" t="s">
        <v>123</v>
      </c>
      <c r="H27" s="1" t="s">
        <v>76</v>
      </c>
      <c r="I27" s="1" t="s">
        <v>117</v>
      </c>
      <c r="J27" s="1" t="s">
        <v>117</v>
      </c>
    </row>
    <row r="28" spans="1:10" x14ac:dyDescent="0.25">
      <c r="A28" t="s">
        <v>124</v>
      </c>
      <c r="B28" t="s">
        <v>11</v>
      </c>
      <c r="C28" t="s">
        <v>48</v>
      </c>
      <c r="D28" s="1" t="s">
        <v>100</v>
      </c>
      <c r="E28" s="1" t="s">
        <v>14</v>
      </c>
      <c r="F28" s="1" t="s">
        <v>93</v>
      </c>
      <c r="G28" s="1" t="s">
        <v>85</v>
      </c>
      <c r="H28" s="1" t="s">
        <v>68</v>
      </c>
      <c r="I28" s="1" t="s">
        <v>33</v>
      </c>
      <c r="J28" s="1" t="s">
        <v>34</v>
      </c>
    </row>
    <row r="29" spans="1:10" x14ac:dyDescent="0.25">
      <c r="A29" t="s">
        <v>125</v>
      </c>
      <c r="B29" t="s">
        <v>11</v>
      </c>
      <c r="C29" t="s">
        <v>48</v>
      </c>
      <c r="D29" s="1" t="s">
        <v>126</v>
      </c>
      <c r="E29" s="1" t="s">
        <v>104</v>
      </c>
      <c r="F29" s="1" t="s">
        <v>27</v>
      </c>
      <c r="G29" s="1" t="s">
        <v>127</v>
      </c>
      <c r="H29" s="1" t="s">
        <v>128</v>
      </c>
      <c r="I29" s="1" t="s">
        <v>93</v>
      </c>
      <c r="J29" s="1" t="s">
        <v>71</v>
      </c>
    </row>
    <row r="30" spans="1:10" x14ac:dyDescent="0.25">
      <c r="A30" t="s">
        <v>129</v>
      </c>
      <c r="B30" t="s">
        <v>21</v>
      </c>
      <c r="C30" t="s">
        <v>29</v>
      </c>
      <c r="D30" s="1" t="s">
        <v>130</v>
      </c>
      <c r="E30" s="1" t="s">
        <v>23</v>
      </c>
      <c r="F30" s="1" t="s">
        <v>32</v>
      </c>
      <c r="G30" s="1" t="s">
        <v>25</v>
      </c>
      <c r="H30" s="1" t="s">
        <v>35</v>
      </c>
      <c r="I30" s="1" t="s">
        <v>26</v>
      </c>
      <c r="J30" s="1" t="s">
        <v>19</v>
      </c>
    </row>
    <row r="31" spans="1:10" x14ac:dyDescent="0.25">
      <c r="A31" t="s">
        <v>131</v>
      </c>
      <c r="B31" t="s">
        <v>11</v>
      </c>
      <c r="C31" t="s">
        <v>29</v>
      </c>
      <c r="D31" s="1" t="s">
        <v>132</v>
      </c>
      <c r="E31" s="1" t="s">
        <v>38</v>
      </c>
      <c r="F31" s="1" t="s">
        <v>133</v>
      </c>
      <c r="G31" s="1" t="s">
        <v>25</v>
      </c>
      <c r="H31" s="1" t="s">
        <v>26</v>
      </c>
      <c r="I31" s="1" t="s">
        <v>93</v>
      </c>
      <c r="J31" s="1" t="s">
        <v>19</v>
      </c>
    </row>
    <row r="32" spans="1:10" x14ac:dyDescent="0.25">
      <c r="A32" t="s">
        <v>134</v>
      </c>
      <c r="B32" t="s">
        <v>21</v>
      </c>
      <c r="C32" t="s">
        <v>12</v>
      </c>
      <c r="D32" s="1" t="s">
        <v>135</v>
      </c>
      <c r="E32" s="1" t="s">
        <v>136</v>
      </c>
      <c r="F32" s="1" t="s">
        <v>98</v>
      </c>
      <c r="G32" s="1" t="s">
        <v>32</v>
      </c>
      <c r="H32" s="1" t="s">
        <v>32</v>
      </c>
      <c r="I32" s="1" t="s">
        <v>85</v>
      </c>
      <c r="J32" s="1" t="s">
        <v>46</v>
      </c>
    </row>
    <row r="33" spans="1:10" x14ac:dyDescent="0.25">
      <c r="A33" t="s">
        <v>137</v>
      </c>
      <c r="B33" t="s">
        <v>11</v>
      </c>
      <c r="C33" t="s">
        <v>29</v>
      </c>
      <c r="D33" s="1" t="s">
        <v>138</v>
      </c>
      <c r="E33" s="1" t="s">
        <v>92</v>
      </c>
      <c r="F33" s="1" t="s">
        <v>68</v>
      </c>
      <c r="G33" s="1" t="s">
        <v>139</v>
      </c>
      <c r="H33" s="1" t="s">
        <v>32</v>
      </c>
      <c r="I33" s="1" t="s">
        <v>58</v>
      </c>
      <c r="J33" s="1" t="s">
        <v>54</v>
      </c>
    </row>
    <row r="34" spans="1:10" x14ac:dyDescent="0.25">
      <c r="A34" t="s">
        <v>140</v>
      </c>
      <c r="B34" t="s">
        <v>11</v>
      </c>
      <c r="C34" t="s">
        <v>29</v>
      </c>
      <c r="D34" s="1" t="s">
        <v>141</v>
      </c>
      <c r="E34" s="1" t="s">
        <v>104</v>
      </c>
      <c r="F34" s="1" t="s">
        <v>93</v>
      </c>
      <c r="G34" s="1" t="s">
        <v>72</v>
      </c>
      <c r="H34" s="1" t="s">
        <v>17</v>
      </c>
      <c r="I34" s="1" t="s">
        <v>34</v>
      </c>
      <c r="J34" s="1" t="s">
        <v>54</v>
      </c>
    </row>
    <row r="35" spans="1:10" x14ac:dyDescent="0.25">
      <c r="A35" t="s">
        <v>142</v>
      </c>
      <c r="B35" t="s">
        <v>21</v>
      </c>
      <c r="C35" t="s">
        <v>48</v>
      </c>
      <c r="D35" s="1" t="s">
        <v>13</v>
      </c>
      <c r="E35" s="1" t="s">
        <v>143</v>
      </c>
      <c r="F35" s="1" t="s">
        <v>32</v>
      </c>
      <c r="G35" s="1" t="s">
        <v>57</v>
      </c>
      <c r="H35" s="1" t="s">
        <v>144</v>
      </c>
      <c r="I35" s="1" t="s">
        <v>32</v>
      </c>
      <c r="J35" s="1" t="s">
        <v>17</v>
      </c>
    </row>
    <row r="36" spans="1:10" x14ac:dyDescent="0.25">
      <c r="A36" t="s">
        <v>145</v>
      </c>
      <c r="B36" t="s">
        <v>21</v>
      </c>
      <c r="C36" t="s">
        <v>12</v>
      </c>
      <c r="D36" s="1" t="s">
        <v>146</v>
      </c>
      <c r="E36" s="1" t="s">
        <v>89</v>
      </c>
      <c r="F36" s="1" t="s">
        <v>25</v>
      </c>
      <c r="G36" s="1" t="s">
        <v>16</v>
      </c>
      <c r="H36" s="1" t="s">
        <v>32</v>
      </c>
      <c r="I36" s="1" t="s">
        <v>35</v>
      </c>
      <c r="J36" s="1" t="s">
        <v>63</v>
      </c>
    </row>
    <row r="37" spans="1:10" x14ac:dyDescent="0.25">
      <c r="A37" t="s">
        <v>147</v>
      </c>
      <c r="B37" t="s">
        <v>21</v>
      </c>
      <c r="C37" t="s">
        <v>29</v>
      </c>
      <c r="D37" s="1" t="s">
        <v>88</v>
      </c>
      <c r="E37" s="1" t="s">
        <v>38</v>
      </c>
      <c r="F37" s="1" t="s">
        <v>57</v>
      </c>
      <c r="G37" s="1" t="s">
        <v>33</v>
      </c>
      <c r="H37" s="1" t="s">
        <v>72</v>
      </c>
      <c r="I37" s="1" t="s">
        <v>33</v>
      </c>
      <c r="J37" s="1" t="s">
        <v>19</v>
      </c>
    </row>
    <row r="38" spans="1:10" x14ac:dyDescent="0.25">
      <c r="A38" t="s">
        <v>148</v>
      </c>
      <c r="B38" t="s">
        <v>11</v>
      </c>
      <c r="C38" t="s">
        <v>48</v>
      </c>
      <c r="D38" s="1" t="s">
        <v>149</v>
      </c>
      <c r="E38" s="1" t="s">
        <v>104</v>
      </c>
      <c r="F38" s="1" t="s">
        <v>150</v>
      </c>
      <c r="G38" s="1" t="s">
        <v>84</v>
      </c>
      <c r="H38" s="1" t="s">
        <v>123</v>
      </c>
      <c r="I38" s="1" t="s">
        <v>123</v>
      </c>
      <c r="J38" s="1" t="s">
        <v>93</v>
      </c>
    </row>
    <row r="39" spans="1:10" x14ac:dyDescent="0.25">
      <c r="A39" t="s">
        <v>151</v>
      </c>
      <c r="B39" t="s">
        <v>11</v>
      </c>
      <c r="C39" t="s">
        <v>12</v>
      </c>
      <c r="D39" s="1" t="s">
        <v>152</v>
      </c>
      <c r="E39" s="1" t="s">
        <v>153</v>
      </c>
      <c r="F39" s="1" t="s">
        <v>101</v>
      </c>
      <c r="G39" s="1" t="s">
        <v>111</v>
      </c>
      <c r="H39" s="1" t="s">
        <v>72</v>
      </c>
      <c r="I39" s="1" t="s">
        <v>57</v>
      </c>
      <c r="J39" s="1" t="s">
        <v>35</v>
      </c>
    </row>
    <row r="40" spans="1:10" x14ac:dyDescent="0.25">
      <c r="A40" t="s">
        <v>154</v>
      </c>
      <c r="B40" t="s">
        <v>21</v>
      </c>
      <c r="C40" t="s">
        <v>29</v>
      </c>
      <c r="D40" s="1" t="s">
        <v>22</v>
      </c>
      <c r="E40" s="1" t="s">
        <v>153</v>
      </c>
      <c r="F40" s="1" t="s">
        <v>85</v>
      </c>
      <c r="G40" s="1" t="s">
        <v>120</v>
      </c>
      <c r="H40" s="1" t="s">
        <v>34</v>
      </c>
      <c r="I40" s="1" t="s">
        <v>71</v>
      </c>
      <c r="J40" s="1" t="s">
        <v>67</v>
      </c>
    </row>
    <row r="41" spans="1:10" x14ac:dyDescent="0.25">
      <c r="A41" t="s">
        <v>155</v>
      </c>
      <c r="B41" t="s">
        <v>11</v>
      </c>
      <c r="C41" t="s">
        <v>12</v>
      </c>
      <c r="D41" s="1" t="s">
        <v>156</v>
      </c>
      <c r="E41" s="1" t="s">
        <v>157</v>
      </c>
      <c r="F41" s="1" t="s">
        <v>39</v>
      </c>
      <c r="G41" s="1" t="s">
        <v>85</v>
      </c>
      <c r="H41" s="1" t="s">
        <v>158</v>
      </c>
      <c r="I41" s="1" t="s">
        <v>62</v>
      </c>
      <c r="J41" s="1" t="s">
        <v>105</v>
      </c>
    </row>
    <row r="42" spans="1:10" x14ac:dyDescent="0.25">
      <c r="A42" t="s">
        <v>159</v>
      </c>
      <c r="B42" t="s">
        <v>11</v>
      </c>
      <c r="C42" t="s">
        <v>48</v>
      </c>
      <c r="D42" s="1" t="s">
        <v>160</v>
      </c>
      <c r="E42" s="1" t="s">
        <v>157</v>
      </c>
      <c r="F42" s="1" t="s">
        <v>93</v>
      </c>
      <c r="G42" s="1" t="s">
        <v>17</v>
      </c>
      <c r="H42" s="1" t="s">
        <v>144</v>
      </c>
      <c r="I42" s="1" t="s">
        <v>72</v>
      </c>
      <c r="J42" s="1" t="s">
        <v>44</v>
      </c>
    </row>
    <row r="43" spans="1:10" x14ac:dyDescent="0.25">
      <c r="A43" t="s">
        <v>161</v>
      </c>
      <c r="B43" t="s">
        <v>11</v>
      </c>
      <c r="C43" t="s">
        <v>48</v>
      </c>
      <c r="D43" s="1" t="s">
        <v>162</v>
      </c>
      <c r="E43" s="1" t="s">
        <v>153</v>
      </c>
      <c r="F43" s="1" t="s">
        <v>67</v>
      </c>
      <c r="G43" s="1" t="s">
        <v>67</v>
      </c>
      <c r="H43" s="1" t="s">
        <v>80</v>
      </c>
      <c r="I43" s="1" t="s">
        <v>163</v>
      </c>
      <c r="J43" s="1" t="s">
        <v>33</v>
      </c>
    </row>
    <row r="44" spans="1:10" x14ac:dyDescent="0.25">
      <c r="A44" t="s">
        <v>164</v>
      </c>
      <c r="B44" t="s">
        <v>11</v>
      </c>
      <c r="C44" t="s">
        <v>48</v>
      </c>
      <c r="D44" s="1" t="s">
        <v>88</v>
      </c>
      <c r="E44" s="1" t="s">
        <v>165</v>
      </c>
      <c r="F44" s="1" t="s">
        <v>163</v>
      </c>
      <c r="G44" s="1" t="s">
        <v>44</v>
      </c>
      <c r="H44" s="1" t="s">
        <v>35</v>
      </c>
      <c r="I44" s="1" t="s">
        <v>133</v>
      </c>
      <c r="J44" s="1" t="s">
        <v>63</v>
      </c>
    </row>
    <row r="45" spans="1:10" x14ac:dyDescent="0.25">
      <c r="A45" t="s">
        <v>166</v>
      </c>
      <c r="B45" t="s">
        <v>21</v>
      </c>
      <c r="C45" t="s">
        <v>48</v>
      </c>
      <c r="D45" s="1" t="s">
        <v>167</v>
      </c>
      <c r="E45" s="1" t="s">
        <v>168</v>
      </c>
      <c r="F45" s="1" t="s">
        <v>71</v>
      </c>
      <c r="G45" s="1" t="s">
        <v>73</v>
      </c>
      <c r="H45" s="1" t="s">
        <v>67</v>
      </c>
      <c r="I45" s="1" t="s">
        <v>72</v>
      </c>
      <c r="J45" s="1" t="s">
        <v>58</v>
      </c>
    </row>
    <row r="46" spans="1:10" x14ac:dyDescent="0.25">
      <c r="A46" t="s">
        <v>169</v>
      </c>
      <c r="B46" t="s">
        <v>11</v>
      </c>
      <c r="C46" t="s">
        <v>29</v>
      </c>
      <c r="D46" s="1" t="s">
        <v>170</v>
      </c>
      <c r="E46" s="1" t="s">
        <v>171</v>
      </c>
      <c r="F46" s="1" t="s">
        <v>98</v>
      </c>
      <c r="G46" s="1" t="s">
        <v>34</v>
      </c>
      <c r="H46" s="1" t="s">
        <v>172</v>
      </c>
      <c r="I46" s="1" t="s">
        <v>54</v>
      </c>
      <c r="J46" s="1" t="s">
        <v>105</v>
      </c>
    </row>
    <row r="47" spans="1:10" x14ac:dyDescent="0.25">
      <c r="A47" t="s">
        <v>173</v>
      </c>
      <c r="B47" t="s">
        <v>21</v>
      </c>
      <c r="C47" t="s">
        <v>12</v>
      </c>
      <c r="D47" s="1" t="s">
        <v>132</v>
      </c>
      <c r="E47" s="1" t="s">
        <v>50</v>
      </c>
      <c r="F47" s="1" t="s">
        <v>25</v>
      </c>
      <c r="G47" s="1" t="s">
        <v>19</v>
      </c>
      <c r="H47" s="1" t="s">
        <v>117</v>
      </c>
      <c r="I47" s="1" t="s">
        <v>32</v>
      </c>
      <c r="J47" s="1" t="s">
        <v>32</v>
      </c>
    </row>
    <row r="48" spans="1:10" x14ac:dyDescent="0.25">
      <c r="A48" t="s">
        <v>174</v>
      </c>
      <c r="B48" t="s">
        <v>11</v>
      </c>
      <c r="C48" t="s">
        <v>29</v>
      </c>
      <c r="D48" s="1" t="s">
        <v>175</v>
      </c>
      <c r="E48" s="1" t="s">
        <v>153</v>
      </c>
      <c r="F48" s="1" t="s">
        <v>67</v>
      </c>
      <c r="G48" s="1" t="s">
        <v>63</v>
      </c>
      <c r="H48" s="1" t="s">
        <v>35</v>
      </c>
      <c r="I48" s="1" t="s">
        <v>144</v>
      </c>
      <c r="J48" s="1" t="s">
        <v>54</v>
      </c>
    </row>
    <row r="49" spans="1:10" x14ac:dyDescent="0.25">
      <c r="A49" t="s">
        <v>176</v>
      </c>
      <c r="B49" t="s">
        <v>21</v>
      </c>
      <c r="C49" t="s">
        <v>29</v>
      </c>
      <c r="D49" s="1" t="s">
        <v>65</v>
      </c>
      <c r="E49" s="1" t="s">
        <v>107</v>
      </c>
      <c r="F49" s="1" t="s">
        <v>139</v>
      </c>
      <c r="G49" s="1" t="s">
        <v>73</v>
      </c>
      <c r="H49" s="1" t="s">
        <v>54</v>
      </c>
      <c r="I49" s="1" t="s">
        <v>177</v>
      </c>
      <c r="J49" s="1" t="s">
        <v>58</v>
      </c>
    </row>
    <row r="50" spans="1:10" x14ac:dyDescent="0.25">
      <c r="A50" t="s">
        <v>178</v>
      </c>
      <c r="B50" t="s">
        <v>21</v>
      </c>
      <c r="C50" t="s">
        <v>29</v>
      </c>
      <c r="D50" s="1" t="s">
        <v>179</v>
      </c>
      <c r="E50" s="1" t="s">
        <v>66</v>
      </c>
      <c r="F50" s="1" t="s">
        <v>35</v>
      </c>
      <c r="G50" s="1" t="s">
        <v>17</v>
      </c>
      <c r="H50" s="1" t="s">
        <v>62</v>
      </c>
      <c r="I50" s="1" t="s">
        <v>139</v>
      </c>
      <c r="J50" s="1" t="s">
        <v>139</v>
      </c>
    </row>
    <row r="51" spans="1:10" x14ac:dyDescent="0.25">
      <c r="A51" t="s">
        <v>180</v>
      </c>
      <c r="B51" t="s">
        <v>11</v>
      </c>
      <c r="C51" t="s">
        <v>48</v>
      </c>
      <c r="D51" s="1" t="s">
        <v>181</v>
      </c>
      <c r="E51" s="1" t="s">
        <v>92</v>
      </c>
      <c r="F51" s="1" t="s">
        <v>24</v>
      </c>
      <c r="G51" s="1" t="s">
        <v>68</v>
      </c>
      <c r="H51" s="1" t="s">
        <v>25</v>
      </c>
      <c r="I51" s="1" t="s">
        <v>57</v>
      </c>
      <c r="J51" s="1" t="s">
        <v>25</v>
      </c>
    </row>
    <row r="52" spans="1:10" x14ac:dyDescent="0.25">
      <c r="A52" t="s">
        <v>182</v>
      </c>
      <c r="B52" t="s">
        <v>21</v>
      </c>
      <c r="C52" t="s">
        <v>48</v>
      </c>
      <c r="D52" s="1" t="s">
        <v>183</v>
      </c>
      <c r="E52" s="1" t="s">
        <v>14</v>
      </c>
      <c r="F52" s="1" t="s">
        <v>84</v>
      </c>
      <c r="G52" s="1" t="s">
        <v>184</v>
      </c>
      <c r="H52" s="1" t="s">
        <v>127</v>
      </c>
      <c r="I52" s="1" t="s">
        <v>127</v>
      </c>
      <c r="J52" s="1" t="s">
        <v>163</v>
      </c>
    </row>
    <row r="53" spans="1:10" x14ac:dyDescent="0.25">
      <c r="A53" t="s">
        <v>185</v>
      </c>
      <c r="B53" t="s">
        <v>21</v>
      </c>
      <c r="C53" t="s">
        <v>29</v>
      </c>
      <c r="D53" s="1" t="s">
        <v>186</v>
      </c>
      <c r="E53" s="1" t="s">
        <v>110</v>
      </c>
      <c r="F53" s="1" t="s">
        <v>67</v>
      </c>
      <c r="G53" s="1" t="s">
        <v>44</v>
      </c>
      <c r="H53" s="1" t="s">
        <v>80</v>
      </c>
      <c r="I53" s="1" t="s">
        <v>98</v>
      </c>
      <c r="J53" s="1" t="s">
        <v>18</v>
      </c>
    </row>
    <row r="54" spans="1:10" x14ac:dyDescent="0.25">
      <c r="A54" t="s">
        <v>187</v>
      </c>
      <c r="B54" t="s">
        <v>21</v>
      </c>
      <c r="C54" t="s">
        <v>48</v>
      </c>
      <c r="D54" s="1" t="s">
        <v>188</v>
      </c>
      <c r="E54" s="1" t="s">
        <v>14</v>
      </c>
      <c r="F54" s="1" t="s">
        <v>163</v>
      </c>
      <c r="G54" s="1" t="s">
        <v>177</v>
      </c>
      <c r="H54" s="1" t="s">
        <v>32</v>
      </c>
      <c r="I54" s="1" t="s">
        <v>68</v>
      </c>
      <c r="J54" s="1" t="s">
        <v>72</v>
      </c>
    </row>
    <row r="55" spans="1:10" x14ac:dyDescent="0.25">
      <c r="A55" t="s">
        <v>189</v>
      </c>
      <c r="B55" t="s">
        <v>21</v>
      </c>
      <c r="C55" t="s">
        <v>29</v>
      </c>
      <c r="D55" s="1" t="s">
        <v>65</v>
      </c>
      <c r="E55" s="1" t="s">
        <v>50</v>
      </c>
      <c r="F55" s="1" t="s">
        <v>117</v>
      </c>
      <c r="G55" s="1" t="s">
        <v>35</v>
      </c>
      <c r="H55" s="1" t="s">
        <v>25</v>
      </c>
      <c r="I55" s="1" t="s">
        <v>34</v>
      </c>
      <c r="J55" s="1" t="s">
        <v>32</v>
      </c>
    </row>
    <row r="56" spans="1:10" x14ac:dyDescent="0.25">
      <c r="A56" t="s">
        <v>190</v>
      </c>
      <c r="B56" t="s">
        <v>21</v>
      </c>
      <c r="C56" t="s">
        <v>48</v>
      </c>
      <c r="D56" s="1" t="s">
        <v>181</v>
      </c>
      <c r="E56" s="1" t="s">
        <v>89</v>
      </c>
      <c r="F56" s="1" t="s">
        <v>191</v>
      </c>
      <c r="G56" s="1" t="s">
        <v>85</v>
      </c>
      <c r="H56" s="1" t="s">
        <v>18</v>
      </c>
      <c r="I56" s="1" t="s">
        <v>192</v>
      </c>
      <c r="J56" s="1" t="s">
        <v>77</v>
      </c>
    </row>
    <row r="57" spans="1:10" x14ac:dyDescent="0.25">
      <c r="A57" t="s">
        <v>193</v>
      </c>
      <c r="B57" t="s">
        <v>21</v>
      </c>
      <c r="C57" t="s">
        <v>29</v>
      </c>
      <c r="D57" s="1" t="s">
        <v>60</v>
      </c>
      <c r="E57" s="1" t="s">
        <v>104</v>
      </c>
      <c r="F57" s="1" t="s">
        <v>43</v>
      </c>
      <c r="G57" s="1" t="s">
        <v>39</v>
      </c>
      <c r="H57" s="1" t="s">
        <v>80</v>
      </c>
      <c r="I57" s="1" t="s">
        <v>101</v>
      </c>
      <c r="J57" s="1" t="s">
        <v>77</v>
      </c>
    </row>
    <row r="58" spans="1:10" x14ac:dyDescent="0.25">
      <c r="A58" t="s">
        <v>194</v>
      </c>
      <c r="B58" t="s">
        <v>11</v>
      </c>
      <c r="C58" t="s">
        <v>12</v>
      </c>
      <c r="D58" s="1" t="s">
        <v>195</v>
      </c>
      <c r="E58" s="1" t="s">
        <v>42</v>
      </c>
      <c r="F58" s="1" t="s">
        <v>77</v>
      </c>
      <c r="G58" s="1" t="s">
        <v>34</v>
      </c>
      <c r="H58" s="1" t="s">
        <v>19</v>
      </c>
      <c r="I58" s="1" t="s">
        <v>35</v>
      </c>
      <c r="J58" s="1" t="s">
        <v>17</v>
      </c>
    </row>
    <row r="59" spans="1:10" x14ac:dyDescent="0.25">
      <c r="A59" t="s">
        <v>196</v>
      </c>
      <c r="B59" t="s">
        <v>11</v>
      </c>
      <c r="C59" t="s">
        <v>48</v>
      </c>
      <c r="D59" s="1" t="s">
        <v>197</v>
      </c>
      <c r="E59" s="1" t="s">
        <v>107</v>
      </c>
      <c r="F59" s="1" t="s">
        <v>46</v>
      </c>
      <c r="G59" s="1" t="s">
        <v>73</v>
      </c>
      <c r="H59" s="1" t="s">
        <v>177</v>
      </c>
      <c r="I59" s="1" t="s">
        <v>32</v>
      </c>
      <c r="J59" s="1" t="s">
        <v>57</v>
      </c>
    </row>
    <row r="60" spans="1:10" x14ac:dyDescent="0.25">
      <c r="A60" t="s">
        <v>198</v>
      </c>
      <c r="B60" t="s">
        <v>11</v>
      </c>
      <c r="C60" t="s">
        <v>12</v>
      </c>
      <c r="D60" s="1" t="s">
        <v>116</v>
      </c>
      <c r="E60" s="1" t="s">
        <v>92</v>
      </c>
      <c r="F60" s="1" t="s">
        <v>72</v>
      </c>
      <c r="G60" s="1" t="s">
        <v>33</v>
      </c>
      <c r="H60" s="1" t="s">
        <v>94</v>
      </c>
      <c r="I60" s="1" t="s">
        <v>73</v>
      </c>
      <c r="J60" s="1" t="s">
        <v>58</v>
      </c>
    </row>
    <row r="61" spans="1:10" x14ac:dyDescent="0.25">
      <c r="A61" t="s">
        <v>199</v>
      </c>
      <c r="B61" t="s">
        <v>11</v>
      </c>
      <c r="C61" t="s">
        <v>29</v>
      </c>
      <c r="D61" s="1" t="s">
        <v>60</v>
      </c>
      <c r="E61" s="1" t="s">
        <v>89</v>
      </c>
      <c r="F61" s="1" t="s">
        <v>26</v>
      </c>
      <c r="G61" s="1" t="s">
        <v>133</v>
      </c>
      <c r="H61" s="1" t="s">
        <v>26</v>
      </c>
      <c r="I61" s="1" t="s">
        <v>101</v>
      </c>
      <c r="J61" s="1" t="s">
        <v>80</v>
      </c>
    </row>
    <row r="62" spans="1:10" x14ac:dyDescent="0.25">
      <c r="A62" t="s">
        <v>200</v>
      </c>
      <c r="B62" t="s">
        <v>11</v>
      </c>
      <c r="C62" t="s">
        <v>29</v>
      </c>
      <c r="D62" s="1" t="s">
        <v>201</v>
      </c>
      <c r="E62" s="1" t="s">
        <v>202</v>
      </c>
      <c r="F62" s="1" t="s">
        <v>33</v>
      </c>
      <c r="G62" s="1" t="s">
        <v>62</v>
      </c>
      <c r="H62" s="1" t="s">
        <v>62</v>
      </c>
      <c r="I62" s="1" t="s">
        <v>54</v>
      </c>
      <c r="J62" s="1" t="s">
        <v>58</v>
      </c>
    </row>
    <row r="63" spans="1:10" x14ac:dyDescent="0.25">
      <c r="A63" t="s">
        <v>203</v>
      </c>
      <c r="B63" t="s">
        <v>11</v>
      </c>
      <c r="C63" t="s">
        <v>29</v>
      </c>
      <c r="D63" s="1" t="s">
        <v>204</v>
      </c>
      <c r="E63" s="1" t="s">
        <v>143</v>
      </c>
      <c r="F63" s="1" t="s">
        <v>19</v>
      </c>
      <c r="G63" s="1" t="s">
        <v>85</v>
      </c>
      <c r="H63" s="1" t="s">
        <v>62</v>
      </c>
      <c r="I63" s="1" t="s">
        <v>35</v>
      </c>
      <c r="J63" s="1" t="s">
        <v>46</v>
      </c>
    </row>
    <row r="64" spans="1:10" x14ac:dyDescent="0.25">
      <c r="A64" t="s">
        <v>205</v>
      </c>
      <c r="B64" t="s">
        <v>21</v>
      </c>
      <c r="C64" t="s">
        <v>12</v>
      </c>
      <c r="D64" s="1" t="s">
        <v>160</v>
      </c>
      <c r="E64" s="1" t="s">
        <v>153</v>
      </c>
      <c r="F64" s="1" t="s">
        <v>85</v>
      </c>
      <c r="G64" s="1" t="s">
        <v>94</v>
      </c>
      <c r="H64" s="1" t="s">
        <v>72</v>
      </c>
      <c r="I64" s="1" t="s">
        <v>17</v>
      </c>
      <c r="J64" s="1" t="s">
        <v>105</v>
      </c>
    </row>
    <row r="65" spans="1:10" x14ac:dyDescent="0.25">
      <c r="A65" t="s">
        <v>206</v>
      </c>
      <c r="B65" t="s">
        <v>11</v>
      </c>
      <c r="C65" t="s">
        <v>12</v>
      </c>
      <c r="D65" s="1" t="s">
        <v>181</v>
      </c>
      <c r="E65" s="1" t="s">
        <v>23</v>
      </c>
      <c r="F65" s="1" t="s">
        <v>44</v>
      </c>
      <c r="G65" s="1" t="s">
        <v>45</v>
      </c>
      <c r="H65" s="1" t="s">
        <v>63</v>
      </c>
      <c r="I65" s="1" t="s">
        <v>67</v>
      </c>
      <c r="J65" s="1" t="s">
        <v>68</v>
      </c>
    </row>
    <row r="66" spans="1:10" x14ac:dyDescent="0.25">
      <c r="A66" t="s">
        <v>207</v>
      </c>
      <c r="B66" t="s">
        <v>11</v>
      </c>
      <c r="C66" t="s">
        <v>29</v>
      </c>
      <c r="D66" s="1" t="s">
        <v>88</v>
      </c>
      <c r="E66" s="1" t="s">
        <v>23</v>
      </c>
      <c r="F66" s="1" t="s">
        <v>84</v>
      </c>
      <c r="G66" s="1" t="s">
        <v>18</v>
      </c>
      <c r="H66" s="1" t="s">
        <v>15</v>
      </c>
      <c r="I66" s="1" t="s">
        <v>163</v>
      </c>
      <c r="J66" s="1" t="s">
        <v>77</v>
      </c>
    </row>
    <row r="67" spans="1:10" x14ac:dyDescent="0.25">
      <c r="A67" t="s">
        <v>208</v>
      </c>
      <c r="B67" t="s">
        <v>21</v>
      </c>
      <c r="C67" t="s">
        <v>48</v>
      </c>
      <c r="D67" s="1" t="s">
        <v>79</v>
      </c>
      <c r="E67" s="1" t="s">
        <v>171</v>
      </c>
      <c r="F67" s="1" t="s">
        <v>27</v>
      </c>
      <c r="G67" s="1" t="s">
        <v>163</v>
      </c>
      <c r="H67" s="1" t="s">
        <v>68</v>
      </c>
      <c r="I67" s="1" t="s">
        <v>25</v>
      </c>
      <c r="J67" s="1" t="s">
        <v>19</v>
      </c>
    </row>
    <row r="68" spans="1:10" x14ac:dyDescent="0.25">
      <c r="A68" t="s">
        <v>209</v>
      </c>
      <c r="B68" t="s">
        <v>11</v>
      </c>
      <c r="C68" t="s">
        <v>12</v>
      </c>
      <c r="D68" s="1" t="s">
        <v>210</v>
      </c>
      <c r="E68" s="1" t="s">
        <v>14</v>
      </c>
      <c r="F68" s="1" t="s">
        <v>101</v>
      </c>
      <c r="G68" s="1" t="s">
        <v>72</v>
      </c>
      <c r="H68" s="1" t="s">
        <v>51</v>
      </c>
      <c r="I68" s="1" t="s">
        <v>105</v>
      </c>
      <c r="J68" s="1" t="s">
        <v>54</v>
      </c>
    </row>
    <row r="69" spans="1:10" x14ac:dyDescent="0.25">
      <c r="A69" t="s">
        <v>211</v>
      </c>
      <c r="B69" t="s">
        <v>21</v>
      </c>
      <c r="C69" t="s">
        <v>48</v>
      </c>
      <c r="D69" s="1" t="s">
        <v>88</v>
      </c>
      <c r="E69" s="1" t="s">
        <v>23</v>
      </c>
      <c r="F69" s="1" t="s">
        <v>76</v>
      </c>
      <c r="G69" s="1" t="s">
        <v>26</v>
      </c>
      <c r="H69" s="1" t="s">
        <v>18</v>
      </c>
      <c r="I69" s="1" t="s">
        <v>80</v>
      </c>
      <c r="J69" s="1" t="s">
        <v>33</v>
      </c>
    </row>
    <row r="70" spans="1:10" x14ac:dyDescent="0.25">
      <c r="A70" t="s">
        <v>212</v>
      </c>
      <c r="B70" t="s">
        <v>11</v>
      </c>
      <c r="C70" t="s">
        <v>48</v>
      </c>
      <c r="D70" s="1" t="s">
        <v>88</v>
      </c>
      <c r="E70" s="1" t="s">
        <v>107</v>
      </c>
      <c r="F70" s="1" t="s">
        <v>80</v>
      </c>
      <c r="G70" s="1" t="s">
        <v>71</v>
      </c>
      <c r="H70" s="1" t="s">
        <v>192</v>
      </c>
      <c r="I70" s="1" t="s">
        <v>101</v>
      </c>
      <c r="J70" s="1" t="s">
        <v>117</v>
      </c>
    </row>
    <row r="71" spans="1:10" x14ac:dyDescent="0.25">
      <c r="A71" t="s">
        <v>213</v>
      </c>
      <c r="B71" t="s">
        <v>21</v>
      </c>
      <c r="C71" t="s">
        <v>29</v>
      </c>
      <c r="D71" s="1" t="s">
        <v>214</v>
      </c>
      <c r="E71" s="1" t="s">
        <v>136</v>
      </c>
      <c r="F71" s="1" t="s">
        <v>68</v>
      </c>
      <c r="G71" s="1" t="s">
        <v>19</v>
      </c>
      <c r="H71" s="1" t="s">
        <v>51</v>
      </c>
      <c r="I71" s="1" t="s">
        <v>80</v>
      </c>
      <c r="J71" s="1" t="s">
        <v>17</v>
      </c>
    </row>
    <row r="72" spans="1:10" x14ac:dyDescent="0.25">
      <c r="A72" t="s">
        <v>215</v>
      </c>
      <c r="B72" t="s">
        <v>21</v>
      </c>
      <c r="C72" t="s">
        <v>29</v>
      </c>
      <c r="D72" s="1" t="s">
        <v>216</v>
      </c>
      <c r="E72" s="1" t="s">
        <v>107</v>
      </c>
      <c r="F72" s="1" t="s">
        <v>76</v>
      </c>
      <c r="G72" s="1" t="s">
        <v>101</v>
      </c>
      <c r="H72" s="1" t="s">
        <v>85</v>
      </c>
      <c r="I72" s="1" t="s">
        <v>77</v>
      </c>
      <c r="J72" s="1" t="s">
        <v>85</v>
      </c>
    </row>
    <row r="73" spans="1:10" x14ac:dyDescent="0.25">
      <c r="A73" t="s">
        <v>217</v>
      </c>
      <c r="B73" t="s">
        <v>11</v>
      </c>
      <c r="C73" t="s">
        <v>12</v>
      </c>
      <c r="D73" s="1" t="s">
        <v>146</v>
      </c>
      <c r="E73" s="1" t="s">
        <v>171</v>
      </c>
      <c r="F73" s="1" t="s">
        <v>133</v>
      </c>
      <c r="G73" s="1" t="s">
        <v>57</v>
      </c>
      <c r="H73" s="1" t="s">
        <v>33</v>
      </c>
      <c r="I73" s="1" t="s">
        <v>17</v>
      </c>
      <c r="J73" s="1" t="s">
        <v>94</v>
      </c>
    </row>
    <row r="74" spans="1:10" x14ac:dyDescent="0.25">
      <c r="A74" t="s">
        <v>218</v>
      </c>
      <c r="B74" t="s">
        <v>11</v>
      </c>
      <c r="C74" t="s">
        <v>12</v>
      </c>
      <c r="D74" s="1" t="s">
        <v>219</v>
      </c>
      <c r="E74" s="1" t="s">
        <v>66</v>
      </c>
      <c r="F74" s="1" t="s">
        <v>32</v>
      </c>
      <c r="G74" s="1" t="s">
        <v>98</v>
      </c>
      <c r="H74" s="1" t="s">
        <v>18</v>
      </c>
      <c r="I74" s="1" t="s">
        <v>57</v>
      </c>
      <c r="J74" s="1" t="s">
        <v>34</v>
      </c>
    </row>
    <row r="75" spans="1:10" x14ac:dyDescent="0.25">
      <c r="A75" t="s">
        <v>220</v>
      </c>
      <c r="B75" t="s">
        <v>21</v>
      </c>
      <c r="C75" t="s">
        <v>48</v>
      </c>
      <c r="D75" s="1" t="s">
        <v>170</v>
      </c>
      <c r="E75" s="1" t="s">
        <v>23</v>
      </c>
      <c r="F75" s="1" t="s">
        <v>77</v>
      </c>
      <c r="G75" s="1" t="s">
        <v>57</v>
      </c>
      <c r="H75" s="1" t="s">
        <v>46</v>
      </c>
      <c r="I75" s="1" t="s">
        <v>44</v>
      </c>
      <c r="J75" s="1" t="s">
        <v>94</v>
      </c>
    </row>
    <row r="76" spans="1:10" x14ac:dyDescent="0.25">
      <c r="A76" t="s">
        <v>221</v>
      </c>
      <c r="B76" t="s">
        <v>21</v>
      </c>
      <c r="C76" t="s">
        <v>29</v>
      </c>
      <c r="D76" s="1" t="s">
        <v>222</v>
      </c>
      <c r="E76" s="1" t="s">
        <v>23</v>
      </c>
      <c r="F76" s="1" t="s">
        <v>46</v>
      </c>
      <c r="G76" s="1" t="s">
        <v>68</v>
      </c>
      <c r="H76" s="1" t="s">
        <v>101</v>
      </c>
      <c r="I76" s="1" t="s">
        <v>35</v>
      </c>
      <c r="J76" s="1" t="s">
        <v>72</v>
      </c>
    </row>
    <row r="77" spans="1:10" x14ac:dyDescent="0.25">
      <c r="A77" t="s">
        <v>223</v>
      </c>
      <c r="B77" t="s">
        <v>21</v>
      </c>
      <c r="C77" t="s">
        <v>29</v>
      </c>
      <c r="D77" s="1" t="s">
        <v>138</v>
      </c>
      <c r="E77" s="1" t="s">
        <v>171</v>
      </c>
      <c r="F77" s="1" t="s">
        <v>19</v>
      </c>
      <c r="G77" s="1" t="s">
        <v>46</v>
      </c>
      <c r="H77" s="1" t="s">
        <v>120</v>
      </c>
      <c r="I77" s="1" t="s">
        <v>33</v>
      </c>
      <c r="J77" s="1" t="s">
        <v>85</v>
      </c>
    </row>
    <row r="78" spans="1:10" x14ac:dyDescent="0.25">
      <c r="A78" t="s">
        <v>224</v>
      </c>
      <c r="B78" t="s">
        <v>21</v>
      </c>
      <c r="C78" t="s">
        <v>12</v>
      </c>
      <c r="D78" s="1" t="s">
        <v>113</v>
      </c>
      <c r="E78" s="1" t="s">
        <v>104</v>
      </c>
      <c r="F78" s="1" t="s">
        <v>27</v>
      </c>
      <c r="G78" s="1" t="s">
        <v>62</v>
      </c>
      <c r="H78" s="1" t="s">
        <v>144</v>
      </c>
      <c r="I78" s="1" t="s">
        <v>46</v>
      </c>
      <c r="J78" s="1" t="s">
        <v>72</v>
      </c>
    </row>
    <row r="79" spans="1:10" x14ac:dyDescent="0.25">
      <c r="A79" t="s">
        <v>225</v>
      </c>
      <c r="B79" t="s">
        <v>11</v>
      </c>
      <c r="C79" t="s">
        <v>12</v>
      </c>
      <c r="D79" s="1" t="s">
        <v>37</v>
      </c>
      <c r="E79" s="1" t="s">
        <v>38</v>
      </c>
      <c r="F79" s="1" t="s">
        <v>226</v>
      </c>
      <c r="G79" s="1" t="s">
        <v>93</v>
      </c>
      <c r="H79" s="1" t="s">
        <v>32</v>
      </c>
      <c r="I79" s="1" t="s">
        <v>32</v>
      </c>
      <c r="J79" s="1" t="s">
        <v>32</v>
      </c>
    </row>
    <row r="80" spans="1:10" x14ac:dyDescent="0.25">
      <c r="A80" t="s">
        <v>227</v>
      </c>
      <c r="B80" t="s">
        <v>11</v>
      </c>
      <c r="C80" t="s">
        <v>12</v>
      </c>
      <c r="D80" s="1" t="s">
        <v>228</v>
      </c>
      <c r="E80" s="1" t="s">
        <v>23</v>
      </c>
      <c r="F80" s="1" t="s">
        <v>19</v>
      </c>
      <c r="G80" s="1" t="s">
        <v>144</v>
      </c>
      <c r="H80" s="1" t="s">
        <v>229</v>
      </c>
      <c r="I80" s="1" t="s">
        <v>94</v>
      </c>
      <c r="J80" s="1" t="s">
        <v>230</v>
      </c>
    </row>
    <row r="81" spans="1:10" x14ac:dyDescent="0.25">
      <c r="A81" t="s">
        <v>231</v>
      </c>
      <c r="B81" t="s">
        <v>11</v>
      </c>
      <c r="C81" t="s">
        <v>12</v>
      </c>
      <c r="D81" s="1" t="s">
        <v>88</v>
      </c>
      <c r="E81" s="1" t="s">
        <v>157</v>
      </c>
      <c r="F81" s="1" t="s">
        <v>163</v>
      </c>
      <c r="G81" s="1" t="s">
        <v>33</v>
      </c>
      <c r="H81" s="1" t="s">
        <v>19</v>
      </c>
      <c r="I81" s="1" t="s">
        <v>93</v>
      </c>
      <c r="J81" s="1" t="s">
        <v>57</v>
      </c>
    </row>
    <row r="82" spans="1:10" x14ac:dyDescent="0.25">
      <c r="A82" t="s">
        <v>232</v>
      </c>
      <c r="B82" t="s">
        <v>21</v>
      </c>
      <c r="C82" t="s">
        <v>48</v>
      </c>
      <c r="D82" s="1" t="s">
        <v>233</v>
      </c>
      <c r="E82" s="1" t="s">
        <v>171</v>
      </c>
      <c r="F82" s="1" t="s">
        <v>85</v>
      </c>
      <c r="G82" s="1" t="s">
        <v>98</v>
      </c>
      <c r="H82" s="1" t="s">
        <v>44</v>
      </c>
      <c r="I82" s="1" t="s">
        <v>58</v>
      </c>
      <c r="J82" s="1" t="s">
        <v>19</v>
      </c>
    </row>
    <row r="83" spans="1:10" x14ac:dyDescent="0.25">
      <c r="A83" t="s">
        <v>234</v>
      </c>
      <c r="B83" t="s">
        <v>21</v>
      </c>
      <c r="C83" t="s">
        <v>29</v>
      </c>
      <c r="D83" s="1" t="s">
        <v>70</v>
      </c>
      <c r="E83" s="1" t="s">
        <v>23</v>
      </c>
      <c r="F83" s="1" t="s">
        <v>98</v>
      </c>
      <c r="G83" s="1" t="s">
        <v>177</v>
      </c>
      <c r="H83" s="1" t="s">
        <v>177</v>
      </c>
      <c r="I83" s="1" t="s">
        <v>73</v>
      </c>
      <c r="J83" s="1" t="s">
        <v>16</v>
      </c>
    </row>
    <row r="84" spans="1:10" x14ac:dyDescent="0.25">
      <c r="A84" t="s">
        <v>235</v>
      </c>
      <c r="B84" t="s">
        <v>11</v>
      </c>
      <c r="C84" t="s">
        <v>29</v>
      </c>
      <c r="D84" s="1" t="s">
        <v>236</v>
      </c>
      <c r="E84" s="1" t="s">
        <v>89</v>
      </c>
      <c r="F84" s="1" t="s">
        <v>25</v>
      </c>
      <c r="G84" s="1" t="s">
        <v>33</v>
      </c>
      <c r="H84" s="1" t="s">
        <v>101</v>
      </c>
      <c r="I84" s="1" t="s">
        <v>101</v>
      </c>
      <c r="J84" s="1" t="s">
        <v>80</v>
      </c>
    </row>
    <row r="85" spans="1:10" x14ac:dyDescent="0.25">
      <c r="A85" t="s">
        <v>237</v>
      </c>
      <c r="B85" t="s">
        <v>11</v>
      </c>
      <c r="C85" t="s">
        <v>12</v>
      </c>
      <c r="D85" s="1" t="s">
        <v>238</v>
      </c>
      <c r="E85" s="1" t="s">
        <v>107</v>
      </c>
      <c r="F85" s="1" t="s">
        <v>68</v>
      </c>
      <c r="G85" s="1" t="s">
        <v>177</v>
      </c>
      <c r="H85" s="1" t="s">
        <v>45</v>
      </c>
      <c r="I85" s="1" t="s">
        <v>62</v>
      </c>
      <c r="J85" s="1" t="s">
        <v>54</v>
      </c>
    </row>
    <row r="86" spans="1:10" x14ac:dyDescent="0.25">
      <c r="A86" t="s">
        <v>239</v>
      </c>
      <c r="B86" t="s">
        <v>11</v>
      </c>
      <c r="C86" t="s">
        <v>48</v>
      </c>
      <c r="D86" s="1" t="s">
        <v>56</v>
      </c>
      <c r="E86" s="1" t="s">
        <v>136</v>
      </c>
      <c r="F86" s="1" t="s">
        <v>80</v>
      </c>
      <c r="G86" s="1" t="s">
        <v>17</v>
      </c>
      <c r="H86" s="1" t="s">
        <v>63</v>
      </c>
      <c r="I86" s="1" t="s">
        <v>85</v>
      </c>
      <c r="J86" s="1" t="s">
        <v>19</v>
      </c>
    </row>
    <row r="87" spans="1:10" x14ac:dyDescent="0.25">
      <c r="A87" t="s">
        <v>240</v>
      </c>
      <c r="B87" t="s">
        <v>11</v>
      </c>
      <c r="C87" t="s">
        <v>29</v>
      </c>
      <c r="D87" s="1" t="s">
        <v>241</v>
      </c>
      <c r="E87" s="1" t="s">
        <v>38</v>
      </c>
      <c r="F87" s="1" t="s">
        <v>68</v>
      </c>
      <c r="G87" s="1" t="s">
        <v>25</v>
      </c>
      <c r="H87" s="1" t="s">
        <v>32</v>
      </c>
      <c r="I87" s="1" t="s">
        <v>80</v>
      </c>
      <c r="J87" s="1" t="s">
        <v>44</v>
      </c>
    </row>
    <row r="88" spans="1:10" x14ac:dyDescent="0.25">
      <c r="A88" t="s">
        <v>242</v>
      </c>
      <c r="B88" t="s">
        <v>21</v>
      </c>
      <c r="C88" t="s">
        <v>29</v>
      </c>
      <c r="D88" s="1" t="s">
        <v>243</v>
      </c>
      <c r="E88" s="1" t="s">
        <v>104</v>
      </c>
      <c r="F88" s="1" t="s">
        <v>39</v>
      </c>
      <c r="G88" s="1" t="s">
        <v>44</v>
      </c>
      <c r="H88" s="1" t="s">
        <v>98</v>
      </c>
      <c r="I88" s="1" t="s">
        <v>101</v>
      </c>
      <c r="J88" s="1" t="s">
        <v>85</v>
      </c>
    </row>
    <row r="89" spans="1:10" x14ac:dyDescent="0.25">
      <c r="A89" t="s">
        <v>244</v>
      </c>
      <c r="B89" t="s">
        <v>21</v>
      </c>
      <c r="C89" t="s">
        <v>48</v>
      </c>
      <c r="D89" s="1" t="s">
        <v>238</v>
      </c>
      <c r="E89" s="1" t="s">
        <v>42</v>
      </c>
      <c r="F89" s="1" t="s">
        <v>93</v>
      </c>
      <c r="G89" s="1" t="s">
        <v>57</v>
      </c>
      <c r="H89" s="1" t="s">
        <v>158</v>
      </c>
      <c r="I89" s="1" t="s">
        <v>144</v>
      </c>
      <c r="J89" s="1" t="s">
        <v>245</v>
      </c>
    </row>
    <row r="90" spans="1:10" x14ac:dyDescent="0.25">
      <c r="A90" t="s">
        <v>246</v>
      </c>
      <c r="B90" t="s">
        <v>21</v>
      </c>
      <c r="C90" t="s">
        <v>29</v>
      </c>
      <c r="D90" s="1" t="s">
        <v>247</v>
      </c>
      <c r="E90" s="1" t="s">
        <v>168</v>
      </c>
      <c r="F90" s="1" t="s">
        <v>67</v>
      </c>
      <c r="G90" s="1" t="s">
        <v>120</v>
      </c>
      <c r="H90" s="1" t="s">
        <v>46</v>
      </c>
      <c r="I90" s="1" t="s">
        <v>34</v>
      </c>
      <c r="J90" s="1" t="s">
        <v>34</v>
      </c>
    </row>
    <row r="91" spans="1:10" x14ac:dyDescent="0.25">
      <c r="A91" t="s">
        <v>248</v>
      </c>
      <c r="B91" t="s">
        <v>11</v>
      </c>
      <c r="C91" t="s">
        <v>29</v>
      </c>
      <c r="D91" s="1" t="s">
        <v>249</v>
      </c>
      <c r="E91" s="1" t="s">
        <v>107</v>
      </c>
      <c r="F91" s="1" t="s">
        <v>46</v>
      </c>
      <c r="G91" s="1" t="s">
        <v>51</v>
      </c>
      <c r="H91" s="1" t="s">
        <v>85</v>
      </c>
      <c r="I91" s="1" t="s">
        <v>58</v>
      </c>
      <c r="J91" s="1" t="s">
        <v>63</v>
      </c>
    </row>
    <row r="92" spans="1:10" x14ac:dyDescent="0.25">
      <c r="A92" t="s">
        <v>250</v>
      </c>
      <c r="B92" t="s">
        <v>11</v>
      </c>
      <c r="C92" t="s">
        <v>48</v>
      </c>
      <c r="D92" s="1" t="s">
        <v>251</v>
      </c>
      <c r="E92" s="1" t="s">
        <v>61</v>
      </c>
      <c r="F92" s="1" t="s">
        <v>25</v>
      </c>
      <c r="G92" s="1" t="s">
        <v>111</v>
      </c>
      <c r="H92" s="1" t="s">
        <v>177</v>
      </c>
      <c r="I92" s="1" t="s">
        <v>58</v>
      </c>
      <c r="J92" s="1" t="s">
        <v>177</v>
      </c>
    </row>
    <row r="93" spans="1:10" x14ac:dyDescent="0.25">
      <c r="A93" t="s">
        <v>252</v>
      </c>
      <c r="B93" t="s">
        <v>21</v>
      </c>
      <c r="C93" t="s">
        <v>12</v>
      </c>
      <c r="D93" s="1" t="s">
        <v>30</v>
      </c>
      <c r="E93" s="1" t="s">
        <v>157</v>
      </c>
      <c r="F93" s="1" t="s">
        <v>71</v>
      </c>
      <c r="G93" s="1" t="s">
        <v>72</v>
      </c>
      <c r="H93" s="1" t="s">
        <v>253</v>
      </c>
      <c r="I93" s="1" t="s">
        <v>27</v>
      </c>
      <c r="J93" s="1" t="s">
        <v>120</v>
      </c>
    </row>
    <row r="94" spans="1:10" x14ac:dyDescent="0.25">
      <c r="A94" t="s">
        <v>254</v>
      </c>
      <c r="B94" t="s">
        <v>21</v>
      </c>
      <c r="C94" t="s">
        <v>48</v>
      </c>
      <c r="D94" s="1" t="s">
        <v>65</v>
      </c>
      <c r="E94" s="1" t="s">
        <v>255</v>
      </c>
      <c r="F94" s="1" t="s">
        <v>133</v>
      </c>
      <c r="G94" s="1" t="s">
        <v>77</v>
      </c>
      <c r="H94" s="1" t="s">
        <v>67</v>
      </c>
      <c r="I94" s="1" t="s">
        <v>46</v>
      </c>
      <c r="J94" s="1" t="s">
        <v>67</v>
      </c>
    </row>
    <row r="95" spans="1:10" x14ac:dyDescent="0.25">
      <c r="A95" t="s">
        <v>256</v>
      </c>
      <c r="B95" t="s">
        <v>21</v>
      </c>
      <c r="C95" t="s">
        <v>29</v>
      </c>
      <c r="D95" s="1" t="s">
        <v>257</v>
      </c>
      <c r="E95" s="1" t="s">
        <v>258</v>
      </c>
      <c r="F95" s="1" t="s">
        <v>32</v>
      </c>
      <c r="G95" s="1" t="s">
        <v>54</v>
      </c>
      <c r="H95" s="1" t="s">
        <v>51</v>
      </c>
      <c r="I95" s="1" t="s">
        <v>63</v>
      </c>
      <c r="J95" s="1" t="s">
        <v>17</v>
      </c>
    </row>
    <row r="96" spans="1:10" x14ac:dyDescent="0.25">
      <c r="A96" t="s">
        <v>259</v>
      </c>
      <c r="B96" t="s">
        <v>21</v>
      </c>
      <c r="C96" t="s">
        <v>12</v>
      </c>
      <c r="D96" s="1" t="s">
        <v>88</v>
      </c>
      <c r="E96" s="1" t="s">
        <v>92</v>
      </c>
      <c r="F96" s="1" t="s">
        <v>80</v>
      </c>
      <c r="G96" s="1" t="s">
        <v>54</v>
      </c>
      <c r="H96" s="1" t="s">
        <v>35</v>
      </c>
      <c r="I96" s="1" t="s">
        <v>68</v>
      </c>
      <c r="J96" s="1" t="s">
        <v>58</v>
      </c>
    </row>
    <row r="97" spans="1:10" x14ac:dyDescent="0.25">
      <c r="A97" t="s">
        <v>260</v>
      </c>
      <c r="B97" t="s">
        <v>11</v>
      </c>
      <c r="C97" t="s">
        <v>29</v>
      </c>
      <c r="D97" s="1" t="s">
        <v>261</v>
      </c>
      <c r="E97" s="1" t="s">
        <v>31</v>
      </c>
      <c r="F97" s="1" t="s">
        <v>71</v>
      </c>
      <c r="G97" s="1" t="s">
        <v>62</v>
      </c>
      <c r="H97" s="1" t="s">
        <v>120</v>
      </c>
      <c r="I97" s="1" t="s">
        <v>101</v>
      </c>
      <c r="J97" s="1" t="s">
        <v>25</v>
      </c>
    </row>
    <row r="98" spans="1:10" x14ac:dyDescent="0.25">
      <c r="A98" t="s">
        <v>262</v>
      </c>
      <c r="B98" t="s">
        <v>21</v>
      </c>
      <c r="C98" t="s">
        <v>29</v>
      </c>
      <c r="D98" s="1" t="s">
        <v>263</v>
      </c>
      <c r="E98" s="1" t="s">
        <v>264</v>
      </c>
      <c r="F98" s="1" t="s">
        <v>63</v>
      </c>
      <c r="G98" s="1" t="s">
        <v>54</v>
      </c>
      <c r="H98" s="1" t="s">
        <v>32</v>
      </c>
      <c r="I98" s="1" t="s">
        <v>101</v>
      </c>
      <c r="J98" s="1" t="s">
        <v>68</v>
      </c>
    </row>
    <row r="99" spans="1:10" x14ac:dyDescent="0.25">
      <c r="A99" t="s">
        <v>265</v>
      </c>
      <c r="B99" t="s">
        <v>11</v>
      </c>
      <c r="C99" t="s">
        <v>12</v>
      </c>
      <c r="D99" s="1" t="s">
        <v>132</v>
      </c>
      <c r="E99" s="1" t="s">
        <v>38</v>
      </c>
      <c r="F99" s="1" t="s">
        <v>163</v>
      </c>
      <c r="G99" s="1" t="s">
        <v>71</v>
      </c>
      <c r="H99" s="1" t="s">
        <v>77</v>
      </c>
      <c r="I99" s="1" t="s">
        <v>25</v>
      </c>
      <c r="J99" s="1" t="s">
        <v>67</v>
      </c>
    </row>
    <row r="100" spans="1:10" x14ac:dyDescent="0.25">
      <c r="A100" t="s">
        <v>266</v>
      </c>
      <c r="B100" t="s">
        <v>11</v>
      </c>
      <c r="C100" t="s">
        <v>48</v>
      </c>
      <c r="D100" s="1" t="s">
        <v>267</v>
      </c>
      <c r="E100" s="1" t="s">
        <v>14</v>
      </c>
      <c r="F100" s="1" t="s">
        <v>85</v>
      </c>
      <c r="G100" s="1" t="s">
        <v>18</v>
      </c>
      <c r="H100" s="1" t="s">
        <v>268</v>
      </c>
      <c r="I100" s="1" t="s">
        <v>25</v>
      </c>
      <c r="J100" s="1" t="s">
        <v>18</v>
      </c>
    </row>
    <row r="101" spans="1:10" x14ac:dyDescent="0.25">
      <c r="A101" t="s">
        <v>269</v>
      </c>
      <c r="B101" t="s">
        <v>11</v>
      </c>
      <c r="C101" t="s">
        <v>12</v>
      </c>
      <c r="D101" s="1" t="s">
        <v>88</v>
      </c>
      <c r="E101" s="1" t="s">
        <v>14</v>
      </c>
      <c r="F101" s="1" t="s">
        <v>163</v>
      </c>
      <c r="G101" s="1" t="s">
        <v>45</v>
      </c>
      <c r="H101" s="1" t="s">
        <v>63</v>
      </c>
      <c r="I101" s="1" t="s">
        <v>85</v>
      </c>
      <c r="J101" s="1" t="s">
        <v>62</v>
      </c>
    </row>
    <row r="102" spans="1:10" x14ac:dyDescent="0.25">
      <c r="A102" t="s">
        <v>270</v>
      </c>
      <c r="B102" t="s">
        <v>11</v>
      </c>
      <c r="C102" t="s">
        <v>48</v>
      </c>
      <c r="D102" s="1" t="s">
        <v>183</v>
      </c>
      <c r="E102" s="1" t="s">
        <v>157</v>
      </c>
      <c r="F102" s="1" t="s">
        <v>33</v>
      </c>
      <c r="G102" s="1" t="s">
        <v>101</v>
      </c>
      <c r="H102" s="1" t="s">
        <v>27</v>
      </c>
      <c r="I102" s="1" t="s">
        <v>133</v>
      </c>
      <c r="J102" s="1" t="s">
        <v>26</v>
      </c>
    </row>
    <row r="103" spans="1:10" x14ac:dyDescent="0.25">
      <c r="A103" t="s">
        <v>271</v>
      </c>
      <c r="B103" t="s">
        <v>21</v>
      </c>
      <c r="C103" t="s">
        <v>48</v>
      </c>
      <c r="D103" s="1" t="s">
        <v>272</v>
      </c>
      <c r="E103" s="1" t="s">
        <v>83</v>
      </c>
      <c r="F103" s="1" t="s">
        <v>58</v>
      </c>
      <c r="G103" s="1" t="s">
        <v>273</v>
      </c>
      <c r="H103" s="1" t="s">
        <v>274</v>
      </c>
      <c r="I103" s="1" t="s">
        <v>58</v>
      </c>
      <c r="J103" s="1" t="s">
        <v>144</v>
      </c>
    </row>
    <row r="104" spans="1:10" x14ac:dyDescent="0.25">
      <c r="A104" t="s">
        <v>275</v>
      </c>
      <c r="B104" t="s">
        <v>11</v>
      </c>
      <c r="C104" t="s">
        <v>29</v>
      </c>
      <c r="D104" s="1" t="s">
        <v>276</v>
      </c>
      <c r="E104" s="1" t="s">
        <v>277</v>
      </c>
      <c r="F104" s="1" t="s">
        <v>63</v>
      </c>
      <c r="G104" s="1" t="s">
        <v>274</v>
      </c>
      <c r="H104" s="1" t="s">
        <v>58</v>
      </c>
      <c r="I104" s="1" t="s">
        <v>35</v>
      </c>
      <c r="J104" s="1" t="s">
        <v>51</v>
      </c>
    </row>
    <row r="105" spans="1:10" x14ac:dyDescent="0.25">
      <c r="A105" t="s">
        <v>278</v>
      </c>
      <c r="B105" t="s">
        <v>11</v>
      </c>
      <c r="C105" t="s">
        <v>48</v>
      </c>
      <c r="D105" s="1" t="s">
        <v>279</v>
      </c>
      <c r="E105" s="1" t="s">
        <v>92</v>
      </c>
      <c r="F105" s="1" t="s">
        <v>80</v>
      </c>
      <c r="G105" s="1" t="s">
        <v>85</v>
      </c>
      <c r="H105" s="1" t="s">
        <v>15</v>
      </c>
      <c r="I105" s="1" t="s">
        <v>33</v>
      </c>
      <c r="J105" s="1" t="s">
        <v>120</v>
      </c>
    </row>
    <row r="106" spans="1:10" x14ac:dyDescent="0.25">
      <c r="A106" t="s">
        <v>280</v>
      </c>
      <c r="B106" t="s">
        <v>21</v>
      </c>
      <c r="C106" t="s">
        <v>29</v>
      </c>
      <c r="D106" s="1" t="s">
        <v>281</v>
      </c>
      <c r="E106" s="1" t="s">
        <v>23</v>
      </c>
      <c r="F106" s="1" t="s">
        <v>39</v>
      </c>
      <c r="G106" s="1" t="s">
        <v>46</v>
      </c>
      <c r="H106" s="1" t="s">
        <v>44</v>
      </c>
      <c r="I106" s="1" t="s">
        <v>67</v>
      </c>
      <c r="J106" s="1" t="s">
        <v>98</v>
      </c>
    </row>
    <row r="107" spans="1:10" x14ac:dyDescent="0.25">
      <c r="A107" t="s">
        <v>282</v>
      </c>
      <c r="B107" t="s">
        <v>11</v>
      </c>
      <c r="C107" t="s">
        <v>29</v>
      </c>
      <c r="D107" s="1" t="s">
        <v>283</v>
      </c>
      <c r="E107" s="1" t="s">
        <v>42</v>
      </c>
      <c r="F107" s="1" t="s">
        <v>46</v>
      </c>
      <c r="G107" s="1" t="s">
        <v>35</v>
      </c>
      <c r="H107" s="1" t="s">
        <v>25</v>
      </c>
      <c r="I107" s="1" t="s">
        <v>32</v>
      </c>
      <c r="J107" s="1" t="s">
        <v>17</v>
      </c>
    </row>
    <row r="108" spans="1:10" x14ac:dyDescent="0.25">
      <c r="A108" t="s">
        <v>284</v>
      </c>
      <c r="B108" t="s">
        <v>11</v>
      </c>
      <c r="C108" t="s">
        <v>12</v>
      </c>
      <c r="D108" s="1" t="s">
        <v>285</v>
      </c>
      <c r="E108" s="1" t="s">
        <v>202</v>
      </c>
      <c r="F108" s="1" t="s">
        <v>15</v>
      </c>
      <c r="G108" s="1" t="s">
        <v>39</v>
      </c>
      <c r="H108" s="1" t="s">
        <v>18</v>
      </c>
      <c r="I108" s="1" t="s">
        <v>77</v>
      </c>
      <c r="J108" s="1" t="s">
        <v>93</v>
      </c>
    </row>
    <row r="109" spans="1:10" x14ac:dyDescent="0.25">
      <c r="A109" t="s">
        <v>286</v>
      </c>
      <c r="B109" t="s">
        <v>21</v>
      </c>
      <c r="C109" t="s">
        <v>48</v>
      </c>
      <c r="D109" s="1" t="s">
        <v>146</v>
      </c>
      <c r="E109" s="1" t="s">
        <v>277</v>
      </c>
      <c r="F109" s="1" t="s">
        <v>63</v>
      </c>
      <c r="G109" s="1" t="s">
        <v>19</v>
      </c>
      <c r="H109" s="1" t="s">
        <v>144</v>
      </c>
      <c r="I109" s="1" t="s">
        <v>51</v>
      </c>
      <c r="J109" s="1" t="s">
        <v>54</v>
      </c>
    </row>
    <row r="110" spans="1:10" x14ac:dyDescent="0.25">
      <c r="A110" t="s">
        <v>287</v>
      </c>
      <c r="B110" t="s">
        <v>11</v>
      </c>
      <c r="C110" t="s">
        <v>12</v>
      </c>
      <c r="D110" s="1" t="s">
        <v>257</v>
      </c>
      <c r="E110" s="1" t="s">
        <v>165</v>
      </c>
      <c r="F110" s="1" t="s">
        <v>93</v>
      </c>
      <c r="G110" s="1" t="s">
        <v>51</v>
      </c>
      <c r="H110" s="1" t="s">
        <v>32</v>
      </c>
      <c r="I110" s="1" t="s">
        <v>25</v>
      </c>
      <c r="J110" s="1" t="s">
        <v>25</v>
      </c>
    </row>
    <row r="111" spans="1:10" x14ac:dyDescent="0.25">
      <c r="A111" t="s">
        <v>288</v>
      </c>
      <c r="B111" t="s">
        <v>11</v>
      </c>
      <c r="C111" t="s">
        <v>48</v>
      </c>
      <c r="D111" s="1" t="s">
        <v>289</v>
      </c>
      <c r="E111" s="1" t="s">
        <v>31</v>
      </c>
      <c r="F111" s="1" t="s">
        <v>34</v>
      </c>
      <c r="G111" s="1" t="s">
        <v>51</v>
      </c>
      <c r="H111" s="1" t="s">
        <v>18</v>
      </c>
      <c r="I111" s="1" t="s">
        <v>67</v>
      </c>
      <c r="J111" s="1" t="s">
        <v>57</v>
      </c>
    </row>
    <row r="112" spans="1:10" x14ac:dyDescent="0.25">
      <c r="A112" t="s">
        <v>290</v>
      </c>
      <c r="B112" t="s">
        <v>11</v>
      </c>
      <c r="C112" t="s">
        <v>12</v>
      </c>
      <c r="D112" s="1" t="s">
        <v>96</v>
      </c>
      <c r="E112" s="1" t="s">
        <v>89</v>
      </c>
      <c r="F112" s="1" t="s">
        <v>85</v>
      </c>
      <c r="G112" s="1" t="s">
        <v>163</v>
      </c>
      <c r="H112" s="1" t="s">
        <v>25</v>
      </c>
      <c r="I112" s="1" t="s">
        <v>93</v>
      </c>
      <c r="J112" s="1" t="s">
        <v>26</v>
      </c>
    </row>
    <row r="113" spans="1:10" x14ac:dyDescent="0.25">
      <c r="A113" t="s">
        <v>291</v>
      </c>
      <c r="B113" t="s">
        <v>11</v>
      </c>
      <c r="C113" t="s">
        <v>48</v>
      </c>
      <c r="D113" s="1" t="s">
        <v>170</v>
      </c>
      <c r="E113" s="1" t="s">
        <v>171</v>
      </c>
      <c r="F113" s="1" t="s">
        <v>80</v>
      </c>
      <c r="G113" s="1" t="s">
        <v>72</v>
      </c>
      <c r="H113" s="1" t="s">
        <v>292</v>
      </c>
      <c r="I113" s="1" t="s">
        <v>46</v>
      </c>
      <c r="J113" s="1" t="s">
        <v>63</v>
      </c>
    </row>
    <row r="114" spans="1:10" x14ac:dyDescent="0.25">
      <c r="A114" t="s">
        <v>293</v>
      </c>
      <c r="B114" t="s">
        <v>21</v>
      </c>
      <c r="C114" t="s">
        <v>48</v>
      </c>
      <c r="D114" s="1" t="s">
        <v>294</v>
      </c>
      <c r="E114" s="1" t="s">
        <v>107</v>
      </c>
      <c r="F114" s="1" t="s">
        <v>68</v>
      </c>
      <c r="G114" s="1" t="s">
        <v>33</v>
      </c>
      <c r="H114" s="1" t="s">
        <v>57</v>
      </c>
      <c r="I114" s="1" t="s">
        <v>46</v>
      </c>
      <c r="J114" s="1" t="s">
        <v>17</v>
      </c>
    </row>
    <row r="115" spans="1:10" x14ac:dyDescent="0.25">
      <c r="A115" t="s">
        <v>295</v>
      </c>
      <c r="B115" t="s">
        <v>21</v>
      </c>
      <c r="C115" t="s">
        <v>48</v>
      </c>
      <c r="D115" s="1" t="s">
        <v>296</v>
      </c>
      <c r="E115" s="1" t="s">
        <v>23</v>
      </c>
      <c r="F115" s="1" t="s">
        <v>120</v>
      </c>
      <c r="G115" s="1" t="s">
        <v>44</v>
      </c>
      <c r="H115" s="1" t="s">
        <v>44</v>
      </c>
      <c r="I115" s="1" t="s">
        <v>68</v>
      </c>
      <c r="J115" s="1" t="s">
        <v>19</v>
      </c>
    </row>
    <row r="116" spans="1:10" x14ac:dyDescent="0.25">
      <c r="A116" t="s">
        <v>297</v>
      </c>
      <c r="B116" t="s">
        <v>21</v>
      </c>
      <c r="C116" t="s">
        <v>29</v>
      </c>
      <c r="D116" s="1" t="s">
        <v>298</v>
      </c>
      <c r="E116" s="1" t="s">
        <v>61</v>
      </c>
      <c r="F116" s="1" t="s">
        <v>128</v>
      </c>
      <c r="G116" s="1" t="s">
        <v>101</v>
      </c>
      <c r="H116" s="1" t="s">
        <v>101</v>
      </c>
      <c r="I116" s="1" t="s">
        <v>27</v>
      </c>
      <c r="J116" s="1" t="s">
        <v>77</v>
      </c>
    </row>
    <row r="117" spans="1:10" x14ac:dyDescent="0.25">
      <c r="A117" t="s">
        <v>299</v>
      </c>
      <c r="B117" t="s">
        <v>21</v>
      </c>
      <c r="C117" t="s">
        <v>12</v>
      </c>
      <c r="D117" s="1" t="s">
        <v>186</v>
      </c>
      <c r="E117" s="1" t="s">
        <v>23</v>
      </c>
      <c r="F117" s="1" t="s">
        <v>25</v>
      </c>
      <c r="G117" s="1" t="s">
        <v>46</v>
      </c>
      <c r="H117" s="1" t="s">
        <v>120</v>
      </c>
      <c r="I117" s="1" t="s">
        <v>17</v>
      </c>
      <c r="J117" s="1" t="s">
        <v>44</v>
      </c>
    </row>
    <row r="118" spans="1:10" x14ac:dyDescent="0.25">
      <c r="A118" t="s">
        <v>300</v>
      </c>
      <c r="B118" t="s">
        <v>21</v>
      </c>
      <c r="C118" t="s">
        <v>29</v>
      </c>
      <c r="D118" s="1" t="s">
        <v>41</v>
      </c>
      <c r="E118" s="1" t="s">
        <v>107</v>
      </c>
      <c r="F118" s="1" t="s">
        <v>192</v>
      </c>
      <c r="G118" s="1" t="s">
        <v>51</v>
      </c>
      <c r="H118" s="1" t="s">
        <v>44</v>
      </c>
      <c r="I118" s="1" t="s">
        <v>33</v>
      </c>
      <c r="J118" s="1" t="s">
        <v>46</v>
      </c>
    </row>
    <row r="119" spans="1:10" x14ac:dyDescent="0.25">
      <c r="A119" t="s">
        <v>301</v>
      </c>
      <c r="B119" t="s">
        <v>11</v>
      </c>
      <c r="C119" t="s">
        <v>29</v>
      </c>
      <c r="D119" s="1" t="s">
        <v>302</v>
      </c>
      <c r="E119" s="1" t="s">
        <v>107</v>
      </c>
      <c r="F119" s="1" t="s">
        <v>57</v>
      </c>
      <c r="G119" s="1" t="s">
        <v>139</v>
      </c>
      <c r="H119" s="1" t="s">
        <v>111</v>
      </c>
      <c r="I119" s="1" t="s">
        <v>105</v>
      </c>
      <c r="J119" s="1" t="s">
        <v>139</v>
      </c>
    </row>
    <row r="120" spans="1:10" x14ac:dyDescent="0.25">
      <c r="A120" t="s">
        <v>303</v>
      </c>
      <c r="B120" t="s">
        <v>21</v>
      </c>
      <c r="C120" t="s">
        <v>48</v>
      </c>
      <c r="D120" s="1" t="s">
        <v>304</v>
      </c>
      <c r="E120" s="1" t="s">
        <v>50</v>
      </c>
      <c r="F120" s="1" t="s">
        <v>133</v>
      </c>
      <c r="G120" s="1" t="s">
        <v>18</v>
      </c>
      <c r="H120" s="1" t="s">
        <v>101</v>
      </c>
      <c r="I120" s="1" t="s">
        <v>77</v>
      </c>
      <c r="J120" s="1" t="s">
        <v>25</v>
      </c>
    </row>
    <row r="121" spans="1:10" x14ac:dyDescent="0.25">
      <c r="A121" t="s">
        <v>305</v>
      </c>
      <c r="B121" t="s">
        <v>21</v>
      </c>
      <c r="C121" t="s">
        <v>29</v>
      </c>
      <c r="D121" s="1" t="s">
        <v>279</v>
      </c>
      <c r="E121" s="1" t="s">
        <v>136</v>
      </c>
      <c r="F121" s="1" t="s">
        <v>253</v>
      </c>
      <c r="G121" s="1" t="s">
        <v>120</v>
      </c>
      <c r="H121" s="1" t="s">
        <v>133</v>
      </c>
      <c r="I121" s="1" t="s">
        <v>128</v>
      </c>
      <c r="J121" s="1"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1A34-8337-46BB-B67A-8AC21CF0CE38}">
  <dimension ref="H1:S27"/>
  <sheetViews>
    <sheetView tabSelected="1" workbookViewId="0">
      <selection activeCell="U4" sqref="U4"/>
    </sheetView>
  </sheetViews>
  <sheetFormatPr defaultRowHeight="15" x14ac:dyDescent="0.25"/>
  <sheetData>
    <row r="1" spans="8:19" s="32" customFormat="1" x14ac:dyDescent="0.25">
      <c r="H1" s="31" t="s">
        <v>320</v>
      </c>
      <c r="I1" s="31"/>
      <c r="J1" s="31"/>
      <c r="K1" s="31"/>
      <c r="L1" s="31"/>
      <c r="M1" s="31"/>
      <c r="N1" s="31"/>
      <c r="O1" s="31"/>
      <c r="P1" s="31"/>
      <c r="Q1" s="31"/>
      <c r="R1" s="31"/>
      <c r="S1" s="31"/>
    </row>
    <row r="2" spans="8:19" x14ac:dyDescent="0.25">
      <c r="H2" s="31"/>
      <c r="I2" s="31"/>
      <c r="J2" s="31"/>
      <c r="K2" s="31"/>
      <c r="L2" s="31"/>
      <c r="M2" s="31"/>
      <c r="N2" s="31"/>
      <c r="O2" s="31"/>
      <c r="P2" s="31"/>
      <c r="Q2" s="31"/>
      <c r="R2" s="31"/>
      <c r="S2" s="31"/>
    </row>
    <row r="3" spans="8:19" ht="15" customHeight="1" x14ac:dyDescent="0.25">
      <c r="H3" s="31"/>
      <c r="I3" s="31"/>
      <c r="J3" s="31"/>
      <c r="K3" s="31"/>
      <c r="L3" s="31"/>
      <c r="M3" s="31"/>
      <c r="N3" s="31"/>
      <c r="O3" s="31"/>
      <c r="P3" s="31"/>
      <c r="Q3" s="31"/>
      <c r="R3" s="31"/>
      <c r="S3" s="31"/>
    </row>
    <row r="4" spans="8:19" x14ac:dyDescent="0.25">
      <c r="H4" s="31"/>
      <c r="I4" s="31"/>
      <c r="J4" s="31"/>
      <c r="K4" s="31"/>
      <c r="L4" s="31"/>
      <c r="M4" s="31"/>
      <c r="N4" s="31"/>
      <c r="O4" s="31"/>
      <c r="P4" s="31"/>
      <c r="Q4" s="31"/>
      <c r="R4" s="31"/>
      <c r="S4" s="31"/>
    </row>
    <row r="5" spans="8:19" x14ac:dyDescent="0.25">
      <c r="H5" s="31"/>
      <c r="I5" s="31"/>
      <c r="J5" s="31"/>
      <c r="K5" s="31"/>
      <c r="L5" s="31"/>
      <c r="M5" s="31"/>
      <c r="N5" s="31"/>
      <c r="O5" s="31"/>
      <c r="P5" s="31"/>
      <c r="Q5" s="31"/>
      <c r="R5" s="31"/>
      <c r="S5" s="31"/>
    </row>
    <row r="6" spans="8:19" x14ac:dyDescent="0.25">
      <c r="H6" s="31"/>
      <c r="I6" s="31"/>
      <c r="J6" s="31"/>
      <c r="K6" s="31"/>
      <c r="L6" s="31"/>
      <c r="M6" s="31"/>
      <c r="N6" s="31"/>
      <c r="O6" s="31"/>
      <c r="P6" s="31"/>
      <c r="Q6" s="31"/>
      <c r="R6" s="31"/>
      <c r="S6" s="31"/>
    </row>
    <row r="7" spans="8:19" x14ac:dyDescent="0.25">
      <c r="H7" s="31"/>
      <c r="I7" s="31"/>
      <c r="J7" s="31"/>
      <c r="K7" s="31"/>
      <c r="L7" s="31"/>
      <c r="M7" s="31"/>
      <c r="N7" s="31"/>
      <c r="O7" s="31"/>
      <c r="P7" s="31"/>
      <c r="Q7" s="31"/>
      <c r="R7" s="31"/>
      <c r="S7" s="31"/>
    </row>
    <row r="8" spans="8:19" x14ac:dyDescent="0.25">
      <c r="H8" s="31"/>
      <c r="I8" s="31"/>
      <c r="J8" s="31"/>
      <c r="K8" s="31"/>
      <c r="L8" s="31"/>
      <c r="M8" s="31"/>
      <c r="N8" s="31"/>
      <c r="O8" s="31"/>
      <c r="P8" s="31"/>
      <c r="Q8" s="31"/>
      <c r="R8" s="31"/>
      <c r="S8" s="31"/>
    </row>
    <row r="9" spans="8:19" x14ac:dyDescent="0.25">
      <c r="H9" s="31"/>
      <c r="I9" s="31"/>
      <c r="J9" s="31"/>
      <c r="K9" s="31"/>
      <c r="L9" s="31"/>
      <c r="M9" s="31"/>
      <c r="N9" s="31"/>
      <c r="O9" s="31"/>
      <c r="P9" s="31"/>
      <c r="Q9" s="31"/>
      <c r="R9" s="31"/>
      <c r="S9" s="31"/>
    </row>
    <row r="10" spans="8:19" x14ac:dyDescent="0.25">
      <c r="H10" s="31"/>
      <c r="I10" s="31"/>
      <c r="J10" s="31"/>
      <c r="K10" s="31"/>
      <c r="L10" s="31"/>
      <c r="M10" s="31"/>
      <c r="N10" s="31"/>
      <c r="O10" s="31"/>
      <c r="P10" s="31"/>
      <c r="Q10" s="31"/>
      <c r="R10" s="31"/>
      <c r="S10" s="31"/>
    </row>
    <row r="11" spans="8:19" x14ac:dyDescent="0.25">
      <c r="H11" s="31"/>
      <c r="I11" s="31"/>
      <c r="J11" s="31"/>
      <c r="K11" s="31"/>
      <c r="L11" s="31"/>
      <c r="M11" s="31"/>
      <c r="N11" s="31"/>
      <c r="O11" s="31"/>
      <c r="P11" s="31"/>
      <c r="Q11" s="31"/>
      <c r="R11" s="31"/>
      <c r="S11" s="31"/>
    </row>
    <row r="12" spans="8:19" x14ac:dyDescent="0.25">
      <c r="H12" s="31"/>
      <c r="I12" s="31"/>
      <c r="J12" s="31"/>
      <c r="K12" s="31"/>
      <c r="L12" s="31"/>
      <c r="M12" s="31"/>
      <c r="N12" s="31"/>
      <c r="O12" s="31"/>
      <c r="P12" s="31"/>
      <c r="Q12" s="31"/>
      <c r="R12" s="31"/>
      <c r="S12" s="31"/>
    </row>
    <row r="13" spans="8:19" x14ac:dyDescent="0.25">
      <c r="H13" s="31"/>
      <c r="I13" s="31"/>
      <c r="J13" s="31"/>
      <c r="K13" s="31"/>
      <c r="L13" s="31"/>
      <c r="M13" s="31"/>
      <c r="N13" s="31"/>
      <c r="O13" s="31"/>
      <c r="P13" s="31"/>
      <c r="Q13" s="31"/>
      <c r="R13" s="31"/>
      <c r="S13" s="31"/>
    </row>
    <row r="14" spans="8:19" x14ac:dyDescent="0.25">
      <c r="H14" s="31"/>
      <c r="I14" s="31"/>
      <c r="J14" s="31"/>
      <c r="K14" s="31"/>
      <c r="L14" s="31"/>
      <c r="M14" s="31"/>
      <c r="N14" s="31"/>
      <c r="O14" s="31"/>
      <c r="P14" s="31"/>
      <c r="Q14" s="31"/>
      <c r="R14" s="31"/>
      <c r="S14" s="31"/>
    </row>
    <row r="15" spans="8:19" x14ac:dyDescent="0.25">
      <c r="H15" s="31"/>
      <c r="I15" s="31"/>
      <c r="J15" s="31"/>
      <c r="K15" s="31"/>
      <c r="L15" s="31"/>
      <c r="M15" s="31"/>
      <c r="N15" s="31"/>
      <c r="O15" s="31"/>
      <c r="P15" s="31"/>
      <c r="Q15" s="31"/>
      <c r="R15" s="31"/>
      <c r="S15" s="31"/>
    </row>
    <row r="16" spans="8:19" x14ac:dyDescent="0.25">
      <c r="H16" s="31"/>
      <c r="I16" s="31"/>
      <c r="J16" s="31"/>
      <c r="K16" s="31"/>
      <c r="L16" s="31"/>
      <c r="M16" s="31"/>
      <c r="N16" s="31"/>
      <c r="O16" s="31"/>
      <c r="P16" s="31"/>
      <c r="Q16" s="31"/>
      <c r="R16" s="31"/>
      <c r="S16" s="31"/>
    </row>
    <row r="17" spans="8:19" x14ac:dyDescent="0.25">
      <c r="H17" s="31"/>
      <c r="I17" s="31"/>
      <c r="J17" s="31"/>
      <c r="K17" s="31"/>
      <c r="L17" s="31"/>
      <c r="M17" s="31"/>
      <c r="N17" s="31"/>
      <c r="O17" s="31"/>
      <c r="P17" s="31"/>
      <c r="Q17" s="31"/>
      <c r="R17" s="31"/>
      <c r="S17" s="31"/>
    </row>
    <row r="18" spans="8:19" x14ac:dyDescent="0.25">
      <c r="H18" s="31"/>
      <c r="I18" s="31"/>
      <c r="J18" s="31"/>
      <c r="K18" s="31"/>
      <c r="L18" s="31"/>
      <c r="M18" s="31"/>
      <c r="N18" s="31"/>
      <c r="O18" s="31"/>
      <c r="P18" s="31"/>
      <c r="Q18" s="31"/>
      <c r="R18" s="31"/>
      <c r="S18" s="31"/>
    </row>
    <row r="19" spans="8:19" x14ac:dyDescent="0.25">
      <c r="H19" s="31"/>
      <c r="I19" s="31"/>
      <c r="J19" s="31"/>
      <c r="K19" s="31"/>
      <c r="L19" s="31"/>
      <c r="M19" s="31"/>
      <c r="N19" s="31"/>
      <c r="O19" s="31"/>
      <c r="P19" s="31"/>
      <c r="Q19" s="31"/>
      <c r="R19" s="31"/>
      <c r="S19" s="31"/>
    </row>
    <row r="20" spans="8:19" x14ac:dyDescent="0.25">
      <c r="H20" s="31"/>
      <c r="I20" s="31"/>
      <c r="J20" s="31"/>
      <c r="K20" s="31"/>
      <c r="L20" s="31"/>
      <c r="M20" s="31"/>
      <c r="N20" s="31"/>
      <c r="O20" s="31"/>
      <c r="P20" s="31"/>
      <c r="Q20" s="31"/>
      <c r="R20" s="31"/>
      <c r="S20" s="31"/>
    </row>
    <row r="21" spans="8:19" x14ac:dyDescent="0.25">
      <c r="H21" s="31"/>
      <c r="I21" s="31"/>
      <c r="J21" s="31"/>
      <c r="K21" s="31"/>
      <c r="L21" s="31"/>
      <c r="M21" s="31"/>
      <c r="N21" s="31"/>
      <c r="O21" s="31"/>
      <c r="P21" s="31"/>
      <c r="Q21" s="31"/>
      <c r="R21" s="31"/>
      <c r="S21" s="31"/>
    </row>
    <row r="22" spans="8:19" x14ac:dyDescent="0.25">
      <c r="H22" s="31"/>
      <c r="I22" s="31"/>
      <c r="J22" s="31"/>
      <c r="K22" s="31"/>
      <c r="L22" s="31"/>
      <c r="M22" s="31"/>
      <c r="N22" s="31"/>
      <c r="O22" s="31"/>
      <c r="P22" s="31"/>
      <c r="Q22" s="31"/>
      <c r="R22" s="31"/>
      <c r="S22" s="31"/>
    </row>
    <row r="23" spans="8:19" x14ac:dyDescent="0.25">
      <c r="H23" s="31"/>
      <c r="I23" s="31"/>
      <c r="J23" s="31"/>
      <c r="K23" s="31"/>
      <c r="L23" s="31"/>
      <c r="M23" s="31"/>
      <c r="N23" s="31"/>
      <c r="O23" s="31"/>
      <c r="P23" s="31"/>
      <c r="Q23" s="31"/>
      <c r="R23" s="31"/>
      <c r="S23" s="31"/>
    </row>
    <row r="24" spans="8:19" x14ac:dyDescent="0.25">
      <c r="H24" s="31"/>
      <c r="I24" s="31"/>
      <c r="J24" s="31"/>
      <c r="K24" s="31"/>
      <c r="L24" s="31"/>
      <c r="M24" s="31"/>
      <c r="N24" s="31"/>
      <c r="O24" s="31"/>
      <c r="P24" s="31"/>
      <c r="Q24" s="31"/>
      <c r="R24" s="31"/>
      <c r="S24" s="31"/>
    </row>
    <row r="25" spans="8:19" x14ac:dyDescent="0.25">
      <c r="H25" s="31"/>
      <c r="I25" s="31"/>
      <c r="J25" s="31"/>
      <c r="K25" s="31"/>
      <c r="L25" s="31"/>
      <c r="M25" s="31"/>
      <c r="N25" s="31"/>
      <c r="O25" s="31"/>
      <c r="P25" s="31"/>
      <c r="Q25" s="31"/>
      <c r="R25" s="31"/>
      <c r="S25" s="31"/>
    </row>
    <row r="26" spans="8:19" x14ac:dyDescent="0.25">
      <c r="H26" s="31"/>
      <c r="I26" s="31"/>
      <c r="J26" s="31"/>
      <c r="K26" s="31"/>
      <c r="L26" s="31"/>
      <c r="M26" s="31"/>
      <c r="N26" s="31"/>
      <c r="O26" s="31"/>
      <c r="P26" s="31"/>
      <c r="Q26" s="31"/>
      <c r="R26" s="31"/>
      <c r="S26" s="31"/>
    </row>
    <row r="27" spans="8:19" x14ac:dyDescent="0.25">
      <c r="H27" s="31"/>
      <c r="I27" s="31"/>
      <c r="J27" s="31"/>
      <c r="K27" s="31"/>
      <c r="L27" s="31"/>
      <c r="M27" s="31"/>
      <c r="N27" s="31"/>
      <c r="O27" s="31"/>
      <c r="P27" s="31"/>
      <c r="Q27" s="31"/>
      <c r="R27" s="31"/>
      <c r="S27" s="31"/>
    </row>
  </sheetData>
  <mergeCells count="1">
    <mergeCell ref="H1:S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26EE2-C2C5-4586-9D05-CFE5F780E9D2}">
  <dimension ref="A3:B4"/>
  <sheetViews>
    <sheetView workbookViewId="0">
      <selection activeCell="B16" sqref="B16"/>
    </sheetView>
  </sheetViews>
  <sheetFormatPr defaultRowHeight="15" x14ac:dyDescent="0.25"/>
  <cols>
    <col min="1" max="1" width="19.5703125" bestFit="1" customWidth="1"/>
  </cols>
  <sheetData>
    <row r="3" spans="1:2" x14ac:dyDescent="0.25">
      <c r="A3" t="s">
        <v>308</v>
      </c>
      <c r="B3" t="s">
        <v>310</v>
      </c>
    </row>
    <row r="4" spans="1:2" x14ac:dyDescent="0.25">
      <c r="A4" s="4">
        <v>120</v>
      </c>
      <c r="B4">
        <f>GETPIVOTDATA("Student_ID",$A$3)</f>
        <v>120</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C24DA-764D-4DC6-BF65-C80F4003C86A}">
  <dimension ref="A3:B6"/>
  <sheetViews>
    <sheetView workbookViewId="0">
      <selection activeCell="N25" sqref="N25"/>
    </sheetView>
  </sheetViews>
  <sheetFormatPr defaultRowHeight="15" x14ac:dyDescent="0.25"/>
  <cols>
    <col min="1" max="1" width="13.42578125" bestFit="1" customWidth="1"/>
    <col min="2" max="2" width="19.5703125" bestFit="1" customWidth="1"/>
    <col min="3" max="46" width="4.5703125" bestFit="1" customWidth="1"/>
    <col min="47" max="47" width="7.28515625" bestFit="1" customWidth="1"/>
    <col min="48" max="48" width="11.28515625" bestFit="1" customWidth="1"/>
  </cols>
  <sheetData>
    <row r="3" spans="1:2" x14ac:dyDescent="0.25">
      <c r="A3" s="2" t="s">
        <v>306</v>
      </c>
      <c r="B3" t="s">
        <v>308</v>
      </c>
    </row>
    <row r="4" spans="1:2" x14ac:dyDescent="0.25">
      <c r="A4" s="3" t="s">
        <v>11</v>
      </c>
      <c r="B4" s="4">
        <v>64</v>
      </c>
    </row>
    <row r="5" spans="1:2" x14ac:dyDescent="0.25">
      <c r="A5" s="3" t="s">
        <v>21</v>
      </c>
      <c r="B5" s="4">
        <v>56</v>
      </c>
    </row>
    <row r="6" spans="1:2" x14ac:dyDescent="0.25">
      <c r="A6" s="3" t="s">
        <v>307</v>
      </c>
      <c r="B6" s="4">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65644-DB18-4348-981C-A02DE4D407CE}">
  <dimension ref="A3:B7"/>
  <sheetViews>
    <sheetView workbookViewId="0">
      <selection activeCell="H27" sqref="H27"/>
    </sheetView>
  </sheetViews>
  <sheetFormatPr defaultRowHeight="15" x14ac:dyDescent="0.25"/>
  <cols>
    <col min="1" max="1" width="13.42578125" bestFit="1" customWidth="1"/>
    <col min="2" max="2" width="19.85546875" bestFit="1" customWidth="1"/>
  </cols>
  <sheetData>
    <row r="3" spans="1:2" x14ac:dyDescent="0.25">
      <c r="A3" s="2" t="s">
        <v>306</v>
      </c>
      <c r="B3" t="s">
        <v>309</v>
      </c>
    </row>
    <row r="4" spans="1:2" x14ac:dyDescent="0.25">
      <c r="A4" s="3" t="s">
        <v>29</v>
      </c>
      <c r="B4" s="4">
        <v>49</v>
      </c>
    </row>
    <row r="5" spans="1:2" x14ac:dyDescent="0.25">
      <c r="A5" s="3" t="s">
        <v>48</v>
      </c>
      <c r="B5" s="4">
        <v>38</v>
      </c>
    </row>
    <row r="6" spans="1:2" x14ac:dyDescent="0.25">
      <c r="A6" s="3" t="s">
        <v>12</v>
      </c>
      <c r="B6" s="4">
        <v>33</v>
      </c>
    </row>
    <row r="7" spans="1:2" x14ac:dyDescent="0.25">
      <c r="A7" s="3" t="s">
        <v>307</v>
      </c>
      <c r="B7" s="4">
        <v>120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BE8C9-83D4-4B8E-A530-A9F0455F0C99}">
  <dimension ref="A4:D8"/>
  <sheetViews>
    <sheetView workbookViewId="0">
      <selection activeCell="K6" sqref="K6"/>
    </sheetView>
  </sheetViews>
  <sheetFormatPr defaultRowHeight="15" x14ac:dyDescent="0.25"/>
  <cols>
    <col min="1" max="1" width="13.42578125" bestFit="1" customWidth="1"/>
    <col min="2" max="4" width="14.42578125" bestFit="1" customWidth="1"/>
  </cols>
  <sheetData>
    <row r="4" spans="1:4" x14ac:dyDescent="0.25">
      <c r="A4" s="2" t="s">
        <v>306</v>
      </c>
      <c r="B4" t="s">
        <v>311</v>
      </c>
      <c r="C4" t="s">
        <v>312</v>
      </c>
      <c r="D4" t="s">
        <v>313</v>
      </c>
    </row>
    <row r="5" spans="1:4" x14ac:dyDescent="0.25">
      <c r="A5" s="3" t="s">
        <v>12</v>
      </c>
      <c r="B5" s="4">
        <v>33</v>
      </c>
      <c r="C5" s="4">
        <v>33</v>
      </c>
      <c r="D5" s="4">
        <v>33</v>
      </c>
    </row>
    <row r="6" spans="1:4" x14ac:dyDescent="0.25">
      <c r="A6" s="3" t="s">
        <v>29</v>
      </c>
      <c r="B6" s="4">
        <v>49</v>
      </c>
      <c r="C6" s="4">
        <v>49</v>
      </c>
      <c r="D6" s="4">
        <v>49</v>
      </c>
    </row>
    <row r="7" spans="1:4" x14ac:dyDescent="0.25">
      <c r="A7" s="3" t="s">
        <v>48</v>
      </c>
      <c r="B7" s="4">
        <v>38</v>
      </c>
      <c r="C7" s="4">
        <v>38</v>
      </c>
      <c r="D7" s="4">
        <v>38</v>
      </c>
    </row>
    <row r="8" spans="1:4" x14ac:dyDescent="0.25">
      <c r="A8" s="3" t="s">
        <v>307</v>
      </c>
      <c r="B8" s="4">
        <v>120</v>
      </c>
      <c r="C8" s="4">
        <v>120</v>
      </c>
      <c r="D8" s="4">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D54F-6BEB-4C73-85D4-8C5C5943D47F}">
  <sheetPr>
    <tabColor theme="8" tint="0.39997558519241921"/>
  </sheetPr>
  <dimension ref="E1:R35"/>
  <sheetViews>
    <sheetView workbookViewId="0">
      <selection activeCell="T13" sqref="T13"/>
    </sheetView>
  </sheetViews>
  <sheetFormatPr defaultRowHeight="15" x14ac:dyDescent="0.25"/>
  <cols>
    <col min="13" max="13" width="16.28515625" bestFit="1" customWidth="1"/>
    <col min="14" max="14" width="13.42578125" bestFit="1" customWidth="1"/>
    <col min="15" max="15" width="7.7109375" customWidth="1"/>
    <col min="16" max="16" width="5.42578125" bestFit="1" customWidth="1"/>
    <col min="17" max="17" width="5.5703125" customWidth="1"/>
  </cols>
  <sheetData>
    <row r="1" spans="5:18" ht="3.75" customHeight="1" thickBot="1" x14ac:dyDescent="0.3">
      <c r="E1" s="18"/>
      <c r="F1" s="21"/>
      <c r="G1" s="21"/>
      <c r="H1" s="21"/>
      <c r="I1" s="21"/>
      <c r="J1" s="21"/>
      <c r="K1" s="21"/>
      <c r="L1" s="21"/>
      <c r="M1" s="21"/>
      <c r="N1" s="21"/>
      <c r="O1" s="21"/>
      <c r="P1" s="21"/>
      <c r="Q1" s="21"/>
      <c r="R1" s="22"/>
    </row>
    <row r="2" spans="5:18" ht="15" customHeight="1" x14ac:dyDescent="0.25">
      <c r="E2" s="18"/>
      <c r="F2" s="6" t="s">
        <v>314</v>
      </c>
      <c r="G2" s="7"/>
      <c r="H2" s="7"/>
      <c r="I2" s="7"/>
      <c r="J2" s="7"/>
      <c r="K2" s="7"/>
      <c r="L2" s="7"/>
      <c r="M2" s="7"/>
      <c r="N2" s="7"/>
      <c r="O2" s="7"/>
      <c r="P2" s="7"/>
      <c r="Q2" s="8"/>
      <c r="R2" s="22"/>
    </row>
    <row r="3" spans="5:18" ht="15" customHeight="1" x14ac:dyDescent="0.25">
      <c r="E3" s="18"/>
      <c r="F3" s="9"/>
      <c r="G3" s="5"/>
      <c r="H3" s="5"/>
      <c r="I3" s="5"/>
      <c r="J3" s="5"/>
      <c r="K3" s="5"/>
      <c r="L3" s="5"/>
      <c r="M3" s="5"/>
      <c r="N3" s="5"/>
      <c r="O3" s="5"/>
      <c r="P3" s="5"/>
      <c r="Q3" s="10"/>
      <c r="R3" s="22"/>
    </row>
    <row r="4" spans="5:18" ht="6" customHeight="1" thickBot="1" x14ac:dyDescent="0.3">
      <c r="E4" s="18"/>
      <c r="F4" s="11"/>
      <c r="G4" s="12"/>
      <c r="H4" s="12"/>
      <c r="I4" s="12"/>
      <c r="J4" s="12"/>
      <c r="K4" s="12"/>
      <c r="L4" s="12"/>
      <c r="M4" s="12"/>
      <c r="N4" s="12"/>
      <c r="O4" s="12"/>
      <c r="P4" s="12"/>
      <c r="Q4" s="13"/>
      <c r="R4" s="22"/>
    </row>
    <row r="5" spans="5:18" x14ac:dyDescent="0.25">
      <c r="E5" s="18"/>
      <c r="F5" s="23"/>
      <c r="G5" s="23"/>
      <c r="H5" s="23"/>
      <c r="I5" s="23"/>
      <c r="J5" s="23"/>
      <c r="K5" s="23"/>
      <c r="L5" s="23"/>
      <c r="M5" s="23"/>
      <c r="N5" s="23"/>
      <c r="O5" s="23"/>
      <c r="P5" s="23"/>
      <c r="Q5" s="23"/>
      <c r="R5" s="22"/>
    </row>
    <row r="6" spans="5:18" x14ac:dyDescent="0.25">
      <c r="E6" s="18"/>
      <c r="F6" s="23"/>
      <c r="G6" s="23"/>
      <c r="H6" s="23"/>
      <c r="I6" s="23"/>
      <c r="J6" s="23"/>
      <c r="K6" s="23"/>
      <c r="L6" s="23"/>
      <c r="M6" s="23"/>
      <c r="N6" s="23"/>
      <c r="O6" s="23"/>
      <c r="P6" s="23"/>
      <c r="Q6" s="23"/>
      <c r="R6" s="22"/>
    </row>
    <row r="7" spans="5:18" x14ac:dyDescent="0.25">
      <c r="E7" s="18"/>
      <c r="F7" s="23"/>
      <c r="G7" s="23"/>
      <c r="H7" s="23"/>
      <c r="I7" s="23"/>
      <c r="J7" s="23"/>
      <c r="K7" s="23"/>
      <c r="L7" s="23"/>
      <c r="M7" s="23"/>
      <c r="N7" s="23"/>
      <c r="O7" s="23"/>
      <c r="P7" s="23"/>
      <c r="Q7" s="23"/>
      <c r="R7" s="22"/>
    </row>
    <row r="8" spans="5:18" x14ac:dyDescent="0.25">
      <c r="E8" s="18"/>
      <c r="F8" s="23"/>
      <c r="G8" s="23"/>
      <c r="H8" s="23"/>
      <c r="I8" s="23"/>
      <c r="J8" s="23"/>
      <c r="K8" s="23"/>
      <c r="L8" s="23"/>
      <c r="M8" s="23"/>
      <c r="N8" s="23"/>
      <c r="O8" s="23"/>
      <c r="P8" s="23"/>
      <c r="Q8" s="23"/>
      <c r="R8" s="22"/>
    </row>
    <row r="9" spans="5:18" x14ac:dyDescent="0.25">
      <c r="E9" s="18"/>
      <c r="F9" s="23"/>
      <c r="G9" s="23"/>
      <c r="H9" s="23"/>
      <c r="I9" s="23"/>
      <c r="J9" s="23"/>
      <c r="K9" s="23"/>
      <c r="L9" s="23"/>
      <c r="M9" s="23"/>
      <c r="N9" s="23"/>
      <c r="O9" s="23"/>
      <c r="P9" s="23"/>
      <c r="Q9" s="23"/>
      <c r="R9" s="22"/>
    </row>
    <row r="10" spans="5:18" x14ac:dyDescent="0.25">
      <c r="E10" s="18"/>
      <c r="F10" s="23"/>
      <c r="G10" s="23"/>
      <c r="H10" s="23"/>
      <c r="I10" s="23"/>
      <c r="J10" s="23"/>
      <c r="K10" s="23"/>
      <c r="L10" s="23"/>
      <c r="M10" s="23"/>
      <c r="N10" s="23"/>
      <c r="O10" s="23"/>
      <c r="P10" s="23"/>
      <c r="Q10" s="23"/>
      <c r="R10" s="22"/>
    </row>
    <row r="11" spans="5:18" x14ac:dyDescent="0.25">
      <c r="E11" s="18"/>
      <c r="F11" s="23"/>
      <c r="G11" s="23"/>
      <c r="H11" s="23"/>
      <c r="I11" s="23"/>
      <c r="J11" s="23"/>
      <c r="K11" s="23"/>
      <c r="L11" s="23"/>
      <c r="M11" s="23"/>
      <c r="N11" s="23"/>
      <c r="O11" s="23"/>
      <c r="P11" s="23"/>
      <c r="Q11" s="23"/>
      <c r="R11" s="22"/>
    </row>
    <row r="12" spans="5:18" x14ac:dyDescent="0.25">
      <c r="E12" s="18"/>
      <c r="F12" s="23"/>
      <c r="G12" s="23"/>
      <c r="H12" s="23"/>
      <c r="I12" s="23"/>
      <c r="J12" s="23"/>
      <c r="K12" s="23"/>
      <c r="L12" s="23"/>
      <c r="M12" s="23"/>
      <c r="N12" s="23"/>
      <c r="O12" s="23"/>
      <c r="P12" s="23"/>
      <c r="Q12" s="23"/>
      <c r="R12" s="22"/>
    </row>
    <row r="13" spans="5:18" x14ac:dyDescent="0.25">
      <c r="E13" s="18"/>
      <c r="F13" s="23"/>
      <c r="G13" s="23"/>
      <c r="H13" s="23"/>
      <c r="I13" s="23"/>
      <c r="J13" s="23"/>
      <c r="K13" s="23"/>
      <c r="L13" s="23"/>
      <c r="M13" s="23"/>
      <c r="N13" s="23"/>
      <c r="O13" s="23"/>
      <c r="P13" s="23"/>
      <c r="Q13" s="23"/>
      <c r="R13" s="22"/>
    </row>
    <row r="14" spans="5:18" x14ac:dyDescent="0.25">
      <c r="E14" s="18"/>
      <c r="F14" s="23"/>
      <c r="G14" s="23"/>
      <c r="H14" s="23"/>
      <c r="I14" s="23"/>
      <c r="J14" s="23"/>
      <c r="K14" s="23"/>
      <c r="L14" s="23"/>
      <c r="M14" s="23"/>
      <c r="N14" s="23"/>
      <c r="O14" s="23"/>
      <c r="P14" s="23"/>
      <c r="Q14" s="23"/>
      <c r="R14" s="22"/>
    </row>
    <row r="15" spans="5:18" x14ac:dyDescent="0.25">
      <c r="E15" s="18"/>
      <c r="F15" s="23"/>
      <c r="G15" s="23"/>
      <c r="H15" s="23"/>
      <c r="I15" s="23"/>
      <c r="J15" s="23"/>
      <c r="K15" s="23"/>
      <c r="L15" s="23"/>
      <c r="M15" s="23"/>
      <c r="N15" s="23"/>
      <c r="O15" s="23"/>
      <c r="P15" s="23"/>
      <c r="Q15" s="23"/>
      <c r="R15" s="22"/>
    </row>
    <row r="16" spans="5:18" x14ac:dyDescent="0.25">
      <c r="E16" s="18"/>
      <c r="F16" s="23"/>
      <c r="G16" s="23"/>
      <c r="H16" s="23"/>
      <c r="I16" s="23"/>
      <c r="J16" s="23"/>
      <c r="K16" s="23"/>
      <c r="L16" s="23"/>
      <c r="M16" s="23"/>
      <c r="N16" s="23"/>
      <c r="O16" s="23"/>
      <c r="P16" s="23"/>
      <c r="Q16" s="23"/>
      <c r="R16" s="22"/>
    </row>
    <row r="17" spans="5:18" x14ac:dyDescent="0.25">
      <c r="E17" s="18"/>
      <c r="F17" s="23"/>
      <c r="G17" s="23"/>
      <c r="H17" s="23"/>
      <c r="I17" s="23"/>
      <c r="J17" s="23"/>
      <c r="K17" s="23"/>
      <c r="L17" s="23"/>
      <c r="M17" s="23"/>
      <c r="N17" s="23"/>
      <c r="O17" s="23"/>
      <c r="P17" s="23"/>
      <c r="Q17" s="23"/>
      <c r="R17" s="22"/>
    </row>
    <row r="18" spans="5:18" x14ac:dyDescent="0.25">
      <c r="E18" s="18"/>
      <c r="F18" s="23"/>
      <c r="G18" s="23"/>
      <c r="H18" s="23"/>
      <c r="I18" s="23"/>
      <c r="J18" s="23"/>
      <c r="K18" s="23"/>
      <c r="L18" s="23"/>
      <c r="M18" s="23"/>
      <c r="N18" s="23"/>
      <c r="O18" s="23"/>
      <c r="P18" s="23"/>
      <c r="Q18" s="23"/>
      <c r="R18" s="22"/>
    </row>
    <row r="19" spans="5:18" x14ac:dyDescent="0.25">
      <c r="E19" s="18"/>
      <c r="F19" s="23"/>
      <c r="G19" s="23"/>
      <c r="H19" s="23"/>
      <c r="I19" s="23"/>
      <c r="J19" s="23"/>
      <c r="K19" s="23"/>
      <c r="L19" s="23"/>
      <c r="M19" s="15" t="s">
        <v>318</v>
      </c>
      <c r="N19" s="16" t="s">
        <v>317</v>
      </c>
      <c r="O19" s="16"/>
      <c r="P19" s="17"/>
      <c r="Q19" s="23"/>
      <c r="R19" s="22"/>
    </row>
    <row r="20" spans="5:18" x14ac:dyDescent="0.25">
      <c r="E20" s="18"/>
      <c r="F20" s="23"/>
      <c r="G20" s="23"/>
      <c r="H20" s="23"/>
      <c r="I20" s="23"/>
      <c r="J20" s="23"/>
      <c r="K20" s="23"/>
      <c r="L20" s="23"/>
      <c r="M20" s="24" t="s">
        <v>306</v>
      </c>
      <c r="N20" s="21" t="s">
        <v>11</v>
      </c>
      <c r="O20" s="21" t="s">
        <v>21</v>
      </c>
      <c r="P20" s="21" t="s">
        <v>316</v>
      </c>
      <c r="Q20" s="23"/>
      <c r="R20" s="22"/>
    </row>
    <row r="21" spans="5:18" x14ac:dyDescent="0.25">
      <c r="E21" s="18"/>
      <c r="F21" s="23"/>
      <c r="G21" s="23"/>
      <c r="H21" s="23"/>
      <c r="I21" s="23"/>
      <c r="J21" s="23"/>
      <c r="K21" s="23"/>
      <c r="L21" s="23"/>
      <c r="M21" s="25" t="s">
        <v>12</v>
      </c>
      <c r="N21" s="26">
        <v>21</v>
      </c>
      <c r="O21" s="26">
        <v>12</v>
      </c>
      <c r="P21" s="26">
        <v>33</v>
      </c>
      <c r="Q21" s="23"/>
      <c r="R21" s="22"/>
    </row>
    <row r="22" spans="5:18" x14ac:dyDescent="0.25">
      <c r="E22" s="18"/>
      <c r="F22" s="23"/>
      <c r="G22" s="23"/>
      <c r="H22" s="23"/>
      <c r="I22" s="23"/>
      <c r="J22" s="23"/>
      <c r="K22" s="23"/>
      <c r="L22" s="23"/>
      <c r="M22" s="25" t="s">
        <v>29</v>
      </c>
      <c r="N22" s="26">
        <v>22</v>
      </c>
      <c r="O22" s="26">
        <v>27</v>
      </c>
      <c r="P22" s="26">
        <v>49</v>
      </c>
      <c r="Q22" s="23"/>
      <c r="R22" s="22"/>
    </row>
    <row r="23" spans="5:18" x14ac:dyDescent="0.25">
      <c r="E23" s="18"/>
      <c r="F23" s="23"/>
      <c r="G23" s="23"/>
      <c r="H23" s="23"/>
      <c r="I23" s="23"/>
      <c r="J23" s="23"/>
      <c r="K23" s="23"/>
      <c r="L23" s="23"/>
      <c r="M23" s="25" t="s">
        <v>48</v>
      </c>
      <c r="N23" s="26">
        <v>21</v>
      </c>
      <c r="O23" s="26">
        <v>17</v>
      </c>
      <c r="P23" s="26">
        <v>38</v>
      </c>
      <c r="Q23" s="23"/>
      <c r="R23" s="22"/>
    </row>
    <row r="24" spans="5:18" x14ac:dyDescent="0.25">
      <c r="E24" s="18"/>
      <c r="F24" s="23"/>
      <c r="G24" s="23"/>
      <c r="H24" s="23"/>
      <c r="I24" s="23"/>
      <c r="J24" s="23"/>
      <c r="K24" s="23"/>
      <c r="L24" s="23"/>
      <c r="M24" s="25" t="s">
        <v>316</v>
      </c>
      <c r="N24" s="26">
        <v>64</v>
      </c>
      <c r="O24" s="26">
        <v>56</v>
      </c>
      <c r="P24" s="26">
        <v>120</v>
      </c>
      <c r="Q24" s="23"/>
      <c r="R24" s="22"/>
    </row>
    <row r="25" spans="5:18" x14ac:dyDescent="0.25">
      <c r="E25" s="18"/>
      <c r="F25" s="23"/>
      <c r="G25" s="23"/>
      <c r="H25" s="23"/>
      <c r="I25" s="23"/>
      <c r="J25" s="23"/>
      <c r="K25" s="23"/>
      <c r="L25" s="23"/>
      <c r="M25" s="23"/>
      <c r="N25" s="23"/>
      <c r="O25" s="23"/>
      <c r="P25" s="23"/>
      <c r="Q25" s="23"/>
      <c r="R25" s="22"/>
    </row>
    <row r="26" spans="5:18" x14ac:dyDescent="0.25">
      <c r="E26" s="18"/>
      <c r="F26" s="23"/>
      <c r="G26" s="23"/>
      <c r="H26" s="23"/>
      <c r="I26" s="23"/>
      <c r="J26" s="23"/>
      <c r="K26" s="23"/>
      <c r="L26" s="29" t="s">
        <v>319</v>
      </c>
      <c r="M26" s="29"/>
      <c r="N26" s="29"/>
      <c r="O26" s="29"/>
      <c r="P26" s="29"/>
      <c r="Q26" s="29"/>
      <c r="R26" s="30"/>
    </row>
    <row r="27" spans="5:18" x14ac:dyDescent="0.25">
      <c r="E27" s="18"/>
      <c r="F27" s="23"/>
      <c r="G27" s="23"/>
      <c r="H27" s="23"/>
      <c r="I27" s="23"/>
      <c r="J27" s="23"/>
      <c r="K27" s="23"/>
      <c r="L27" s="29"/>
      <c r="M27" s="29"/>
      <c r="N27" s="29"/>
      <c r="O27" s="29"/>
      <c r="P27" s="29"/>
      <c r="Q27" s="29"/>
      <c r="R27" s="30"/>
    </row>
    <row r="28" spans="5:18" x14ac:dyDescent="0.25">
      <c r="E28" s="18"/>
      <c r="F28" s="23"/>
      <c r="G28" s="23"/>
      <c r="H28" s="23"/>
      <c r="I28" s="23"/>
      <c r="J28" s="23"/>
      <c r="K28" s="23"/>
      <c r="L28" s="29"/>
      <c r="M28" s="29"/>
      <c r="N28" s="29"/>
      <c r="O28" s="29"/>
      <c r="P28" s="29"/>
      <c r="Q28" s="29"/>
      <c r="R28" s="30"/>
    </row>
    <row r="29" spans="5:18" ht="15" customHeight="1" thickBot="1" x14ac:dyDescent="0.3">
      <c r="E29" s="28"/>
      <c r="F29" s="20"/>
      <c r="G29" s="20"/>
      <c r="H29" s="20"/>
      <c r="I29" s="20"/>
      <c r="J29" s="20"/>
      <c r="K29" s="20"/>
      <c r="L29" s="20"/>
      <c r="M29" s="20"/>
      <c r="N29" s="20"/>
      <c r="O29" s="20"/>
      <c r="P29" s="20"/>
      <c r="Q29" s="20"/>
      <c r="R29" s="27"/>
    </row>
    <row r="30" spans="5:18" ht="15.75" thickTop="1" x14ac:dyDescent="0.25">
      <c r="E30" s="14"/>
      <c r="F30" s="19"/>
      <c r="G30" s="19"/>
      <c r="H30" s="19"/>
      <c r="I30" s="19"/>
      <c r="J30" s="19"/>
      <c r="K30" s="19"/>
      <c r="L30" s="19"/>
      <c r="M30" s="19"/>
      <c r="N30" s="19"/>
      <c r="O30" s="19"/>
      <c r="P30" s="19"/>
      <c r="Q30" s="19"/>
      <c r="R30" s="14"/>
    </row>
    <row r="31" spans="5:18" ht="8.25" customHeight="1" x14ac:dyDescent="0.25">
      <c r="E31" s="14"/>
      <c r="F31" s="19"/>
      <c r="G31" s="19"/>
      <c r="H31" s="19"/>
      <c r="I31" s="19"/>
      <c r="J31" s="19"/>
      <c r="K31" s="19"/>
      <c r="L31" s="19"/>
      <c r="M31" s="19"/>
      <c r="N31" s="19"/>
      <c r="O31" s="19"/>
      <c r="P31" s="19"/>
      <c r="Q31" s="19"/>
      <c r="R31" s="14"/>
    </row>
    <row r="32" spans="5:18" x14ac:dyDescent="0.25">
      <c r="E32" s="14"/>
      <c r="F32" s="14"/>
      <c r="G32" s="14"/>
      <c r="H32" s="14"/>
      <c r="I32" s="14"/>
      <c r="J32" s="14"/>
      <c r="K32" s="14"/>
      <c r="L32" s="14"/>
      <c r="M32" s="14"/>
      <c r="N32" s="14"/>
      <c r="O32" s="14"/>
      <c r="P32" s="14"/>
      <c r="Q32" s="14"/>
      <c r="R32" s="14"/>
    </row>
    <row r="33" spans="5:18" x14ac:dyDescent="0.25">
      <c r="E33" s="14"/>
      <c r="F33" s="14"/>
      <c r="G33" s="14"/>
      <c r="H33" s="14"/>
      <c r="I33" s="14"/>
      <c r="J33" s="14"/>
      <c r="K33" s="14"/>
      <c r="L33" s="14"/>
      <c r="M33" s="14"/>
      <c r="N33" s="14"/>
      <c r="O33" s="14"/>
      <c r="P33" s="14"/>
      <c r="Q33" s="14"/>
      <c r="R33" s="14"/>
    </row>
    <row r="34" spans="5:18" x14ac:dyDescent="0.25">
      <c r="E34" s="14"/>
      <c r="F34" s="14"/>
      <c r="G34" s="14"/>
      <c r="H34" s="14"/>
      <c r="I34" s="14"/>
      <c r="J34" s="14"/>
      <c r="K34" s="14"/>
      <c r="L34" s="14"/>
      <c r="M34" s="14"/>
      <c r="N34" s="14"/>
      <c r="O34" s="14"/>
      <c r="P34" s="14"/>
      <c r="Q34" s="14"/>
      <c r="R34" s="14"/>
    </row>
    <row r="35" spans="5:18" x14ac:dyDescent="0.25">
      <c r="E35" s="14"/>
      <c r="F35" s="14"/>
      <c r="G35" s="14"/>
      <c r="H35" s="14"/>
      <c r="I35" s="14"/>
      <c r="J35" s="14"/>
      <c r="K35" s="14"/>
      <c r="L35" s="14"/>
      <c r="M35" s="14"/>
      <c r="N35" s="14"/>
      <c r="O35" s="14"/>
      <c r="P35" s="14"/>
      <c r="Q35" s="14"/>
      <c r="R35" s="14"/>
    </row>
  </sheetData>
  <mergeCells count="2">
    <mergeCell ref="F2:Q4"/>
    <mergeCell ref="L26:R28"/>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C19D08-21B0-4CB6-A55B-DA51288C94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vt:lpstr>
      <vt:lpstr>Week5_Cleaned_Dataset</vt:lpstr>
      <vt:lpstr>Sheet2</vt:lpstr>
      <vt:lpstr>KPI</vt:lpstr>
      <vt:lpstr>pie chart</vt:lpstr>
      <vt:lpstr>bar graph</vt:lpstr>
      <vt:lpstr>Line chart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Sibongile Maluleka</dc:creator>
  <cp:lastModifiedBy>Sibongile Maluleka</cp:lastModifiedBy>
  <dcterms:created xsi:type="dcterms:W3CDTF">2026-03-18T08:54:08Z</dcterms:created>
  <dcterms:modified xsi:type="dcterms:W3CDTF">2026-03-18T12:42:26Z</dcterms:modified>
</cp:coreProperties>
</file>